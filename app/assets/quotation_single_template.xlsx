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OTE" sheetId="1" state="visible" r:id="rId3"/>
  </sheets>
  <definedNames>
    <definedName function="false" hidden="false" localSheetId="0" name="_xlnm.Print_Area" vbProcedure="false">QUOTE!$A$1:$M$39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<sst xmlns="http://schemas.openxmlformats.org/spreadsheetml/2006/main" count="57" uniqueCount="56">
  <si>
    <t xml:space="preserve">SHANTI METAL INDUSTRIES.</t>
  </si>
  <si>
    <t xml:space="preserve">#51, RAJA HARIHARAN TOWER, </t>
  </si>
  <si>
    <t xml:space="preserve">1ST FLOOR, SAJJAN RAO ROAD, </t>
  </si>
  <si>
    <t xml:space="preserve">NEAR BASAPPA CIRCLE, VV PURAM,</t>
  </si>
  <si>
    <t xml:space="preserve">BANGALORE-560026.</t>
  </si>
  <si>
    <t xml:space="preserve">TEL-080 22975431</t>
  </si>
  <si>
    <t xml:space="preserve">GSTIN: 29ADJFS2382K1ZH</t>
  </si>
  <si>
    <t xml:space="preserve">WWW.MELANGEINDIA.IN</t>
  </si>
  <si>
    <t xml:space="preserve">BILL &amp; SHIP TO</t>
  </si>
  <si>
    <t xml:space="preserve">DATE : 23.07.2026</t>
  </si>
  <si>
    <t xml:space="preserve">SALES CONCERN PERSON :MR ABHISHEK JAIN</t>
  </si>
  <si>
    <t xml:space="preserve">CONTACT N0: 9901708514</t>
  </si>
  <si>
    <t xml:space="preserve">MAIL ID: abhishek@melangeindia.in</t>
  </si>
  <si>
    <t xml:space="preserve">SUB:  QUOTATION</t>
  </si>
  <si>
    <t xml:space="preserve">REF NO: </t>
  </si>
  <si>
    <t xml:space="preserve">Dear Sir</t>
  </si>
  <si>
    <t xml:space="preserve">WE ARE PLEASED TO OFFER OUR BEST QUOTE AS BELOW.</t>
  </si>
  <si>
    <t xml:space="preserve">SL.NO</t>
  </si>
  <si>
    <t xml:space="preserve">PRODUCT</t>
  </si>
  <si>
    <t xml:space="preserve">QTY</t>
  </si>
  <si>
    <t xml:space="preserve">DESCRIPTION </t>
  </si>
  <si>
    <t xml:space="preserve">MODEL NO </t>
  </si>
  <si>
    <t xml:space="preserve">BRAND </t>
  </si>
  <si>
    <t xml:space="preserve">IMAGE</t>
  </si>
  <si>
    <t xml:space="preserve">SPECIFICATION</t>
  </si>
  <si>
    <t xml:space="preserve">HSN CODE</t>
  </si>
  <si>
    <t xml:space="preserve">PRICE/PC</t>
  </si>
  <si>
    <t xml:space="preserve">AMOUNT </t>
  </si>
  <si>
    <t xml:space="preserve">GST </t>
  </si>
  <si>
    <t xml:space="preserve">GST AMOUNT </t>
  </si>
  <si>
    <t xml:space="preserve">LUGGAGE TROLLEY </t>
  </si>
  <si>
    <t xml:space="preserve">WALTHR-TR-FO004-BELLMAN TROLLEY</t>
  </si>
  <si>
    <t xml:space="preserve">TR-FO004</t>
  </si>
  <si>
    <t xml:space="preserve">WALTHR</t>
  </si>
  <si>
    <t xml:space="preserve">LUGGAGE TROLLEY
    201# STAINLESS STEEL        1050*610*1860MM
PP WHEEL: 6”
PIPE DIA: 38 MM</t>
  </si>
  <si>
    <t xml:space="preserve">PACKING, FORWARDING &amp; FREIGHT CHARGES</t>
  </si>
  <si>
    <t xml:space="preserve">TOTAL </t>
  </si>
  <si>
    <t xml:space="preserve">GST VALUE </t>
  </si>
  <si>
    <t xml:space="preserve">GRAND TOTAL </t>
  </si>
  <si>
    <t xml:space="preserve">TERMS &amp; CONDITIONS:</t>
  </si>
  <si>
    <t xml:space="preserve">1.THE ABOVE GRAND TOTAL INCUSIVE OF THE GST.</t>
  </si>
  <si>
    <t xml:space="preserve">2. DELIVERY SCHEDULE: 4-6 WEEKS  FROM THE DATE OF P.O AND 100% ADVANCE</t>
  </si>
  <si>
    <t xml:space="preserve">3. PAYMENT TERMS: 100% ADVANCE </t>
  </si>
  <si>
    <t xml:space="preserve">4. PACKING AND FREIGHT CHARGES EXTRA AT ACTUALS</t>
  </si>
  <si>
    <t xml:space="preserve">5. QUOTATION VALIDITY: 14 DAYS</t>
  </si>
  <si>
    <t xml:space="preserve">BANK DETAILS</t>
  </si>
  <si>
    <t xml:space="preserve">CHEQUE PRINT NAME     : SHANTI METAL INDUSTRIES</t>
  </si>
  <si>
    <t xml:space="preserve">PAYMENT MODE               : E-TRANSFER OR CHEQUE</t>
  </si>
  <si>
    <t xml:space="preserve">LOCATION                          : BANGALORE</t>
  </si>
  <si>
    <t xml:space="preserve">For SHANTI METAL INDUSTRIES</t>
  </si>
  <si>
    <t xml:space="preserve">ACCOUNT NO                    : 2512011789</t>
  </si>
  <si>
    <t xml:space="preserve">IFSC CODE                         : KKBK0000423</t>
  </si>
  <si>
    <t xml:space="preserve">ANKUSH JAIN</t>
  </si>
  <si>
    <t xml:space="preserve">BANK NAME                       : KOTAK MAHINDRA BANK</t>
  </si>
  <si>
    <t xml:space="preserve">Authorised Signatory</t>
  </si>
  <si>
    <t xml:space="preserve">BANK ADDRESS                 : BASAVANGUDI, BANGALORE - 560004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</si>
</sst>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_ &quot;₹ &quot;* #,##0.00_ ;_ &quot;₹ &quot;* \-#,##0.00_ ;_ &quot;₹ &quot;* \-??_ ;_ @_ "/>
    <numFmt numFmtId="167" formatCode="_ [$INR]\ * #,##0.00_ ;_ [$INR]\ * \-#,##0.00_ ;_ [$INR]\ * \-??_ ;_ @_ "/>
    <numFmt numFmtId="168" formatCode="_ * #,##0.00_ ;_ * \-#,##0.00_ ;_ * \-??_ ;_ @_ "/>
    <numFmt numFmtId="169" formatCode="_-[$$-409]* #,##0.00_ ;_-[$$-409]* \-#,##0.00\ ;_-[$$-409]* \-??_ ;_-@_ "/>
    <numFmt numFmtId="170" formatCode="_ [$₹-4009]\ * #,##0.00_ ;_ [$₹-4009]\ * \-#,##0.00_ ;_ [$₹-4009]\ * \-??_ ;_ @_ "/>
  </numFmts>
  <fonts count="18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宋体"/>
      <family val="0"/>
      <charset val="134"/>
    </font>
    <font>
      <sz val="10"/>
      <color rgb="FF000000"/>
      <name val="Calibri"/>
      <family val="2"/>
    </font>
    <font>
      <sz val="10"/>
      <name val="Arial"/>
      <family val="2"/>
    </font>
    <font>
      <sz val="11"/>
      <color rgb="FF000000"/>
      <name val="Arial"/>
      <family val="2"/>
    </font>
    <font>
      <sz val="12"/>
      <color rgb="FF000000"/>
      <name val="Calibri"/>
      <family val="2"/>
    </font>
    <font>
      <sz val="10"/>
      <color rgb="FF000000"/>
      <name val="Times New Roman"/>
      <family val="1"/>
    </font>
    <font>
      <sz val="11"/>
      <color rgb="FF000000"/>
      <name val="宋体"/>
      <family val="0"/>
      <charset val="134"/>
    </font>
    <font>
      <sz val="12"/>
      <name val="Times New Roman"/>
      <family val="1"/>
    </font>
    <font>
      <sz val="11"/>
      <color rgb="FFFF0000"/>
      <name val="Calibri"/>
      <family val="2"/>
    </font>
    <font>
      <u val="single"/>
      <sz val="11"/>
      <color rgb="FF0000FF"/>
      <name val="Calibri"/>
      <family val="2"/>
    </font>
    <font>
      <sz val="11"/>
      <color rgb="FFFFFFFF"/>
      <name val="Calibri"/>
      <family val="2"/>
    </font>
    <font>
      <sz val="11"/>
      <color rgb="FF333333"/>
      <name val="Calibri"/>
      <family val="2"/>
    </font>
    <font>
      <sz val="11"/>
      <name val="Calibri"/>
      <family val="2"/>
    </font>
    <font>
      <u val="single"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  <fill>
      <patternFill patternType="solid">
        <fgColor rgb="FF969696"/>
        <bgColor rgb="FF808080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164" fontId="13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2" borderId="0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2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2" borderId="3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5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2" borderId="6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2" borderId="7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2" borderId="7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7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2" borderId="8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2" xfId="19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0" fillId="2" borderId="3" xfId="17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0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0" xfId="19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0" fillId="2" borderId="5" xfId="17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2" borderId="0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2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5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4" fillId="3" borderId="1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4" fillId="3" borderId="1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4" fillId="3" borderId="1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4" fillId="3" borderId="13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0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4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14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5" xfId="3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15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4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0" fillId="4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4" borderId="18" xfId="19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0" fillId="4" borderId="19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4" borderId="2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4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4" borderId="14" xfId="19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0" fillId="4" borderId="22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4" borderId="2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0" fillId="4" borderId="2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4" borderId="25" xfId="19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0" fillId="4" borderId="26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2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2" borderId="0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0 5" xfId="21"/>
    <cellStyle name="Normal 11" xfId="22"/>
    <cellStyle name="Normal 2" xfId="23"/>
    <cellStyle name="Normal 2 2" xfId="24"/>
    <cellStyle name="Normal 2 2 2" xfId="25"/>
    <cellStyle name="Normal 2 2 3" xfId="26"/>
    <cellStyle name="Normal 2 4 3" xfId="27"/>
    <cellStyle name="Normal 2 5" xfId="28"/>
    <cellStyle name="Normal 2 7" xfId="29"/>
    <cellStyle name="Normal 8" xfId="30"/>
    <cellStyle name="常规 2_不锈钢 2" xfId="31"/>
    <cellStyle name="常规_buffet tables-0617-QUOTE (100526)ys" xfId="32"/>
    <cellStyle name="*unknown*" xfId="20" builtinId="8"/>
  </cellStyles>
  <dxfs count="3">
    <dxf>
      <font>
        <name val="Calibri"/>
        <family val="2"/>
        <color rgb="FF800080"/>
        <sz val="11"/>
      </font>
      <fill>
        <patternFill>
          <bgColor rgb="FFFF99CC"/>
        </patternFill>
      </fill>
    </dxf>
    <dxf>
      <font>
        <name val="Calibri"/>
        <family val="2"/>
        <color rgb="FF800080"/>
        <sz val="11"/>
      </font>
      <fill>
        <patternFill>
          <bgColor rgb="FFFF99CC"/>
        </patternFill>
      </fill>
    </dxf>
    <dxf>
      <font>
        <name val="Calibri"/>
        <family val="2"/>
        <color rgb="FF800080"/>
        <sz val="11"/>
      </font>
      <fill>
        <patternFill>
          <bgColor rgb="FFFF99CC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537120</xdr:colOff>
      <xdr:row>1</xdr:row>
      <xdr:rowOff>0</xdr:rowOff>
    </xdr:from>
    <xdr:to>
      <xdr:col>12</xdr:col>
      <xdr:colOff>504720</xdr:colOff>
      <xdr:row>5</xdr:row>
      <xdr:rowOff>114840</xdr:rowOff>
    </xdr:to>
    <xdr:pic>
      <xdr:nvPicPr>
        <xdr:cNvPr id="0" name="Picture 54" descr="MELANGE LOGO"/>
        <xdr:cNvPicPr/>
      </xdr:nvPicPr>
      <xdr:blipFill>
        <a:blip r:embed="rId1"/>
        <a:stretch/>
      </xdr:blipFill>
      <xdr:spPr>
        <a:xfrm>
          <a:off x="19333080" y="178920"/>
          <a:ext cx="2241000" cy="831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695880</xdr:colOff>
      <xdr:row>20</xdr:row>
      <xdr:rowOff>340920</xdr:rowOff>
    </xdr:from>
    <xdr:to>
      <xdr:col>6</xdr:col>
      <xdr:colOff>1455120</xdr:colOff>
      <xdr:row>20</xdr:row>
      <xdr:rowOff>1321920</xdr:rowOff>
    </xdr:to>
    <xdr:pic>
      <xdr:nvPicPr>
        <xdr:cNvPr id="1" name="Picture 109" descr=""/>
        <xdr:cNvPicPr/>
      </xdr:nvPicPr>
      <xdr:blipFill>
        <a:blip r:embed="rId2"/>
        <a:stretch/>
      </xdr:blipFill>
      <xdr:spPr>
        <a:xfrm>
          <a:off x="8304480" y="3998520"/>
          <a:ext cx="759240" cy="981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13671875" defaultRowHeight="15" zeroHeight="false" outlineLevelRow="0" outlineLevelCol="0"/>
  <cols>
    <col collapsed="false" customWidth="true" hidden="false" outlineLevel="0" max="1" min="1" style="1" width="6.85"/>
    <col collapsed="false" customWidth="true" hidden="false" outlineLevel="0" max="2" min="2" style="2" width="28.99"/>
    <col collapsed="false" customWidth="true" hidden="false" outlineLevel="0" max="3" min="3" style="1" width="7.14"/>
    <col collapsed="false" customWidth="true" hidden="false" outlineLevel="0" max="4" min="4" style="1" width="20.85"/>
    <col collapsed="false" customWidth="true" hidden="false" outlineLevel="0" max="5" min="5" style="1" width="15.42"/>
    <col collapsed="false" customWidth="true" hidden="false" outlineLevel="0" max="6" min="6" style="1" width="15.85"/>
    <col collapsed="false" customWidth="true" hidden="false" outlineLevel="0" max="7" min="7" style="1" width="42.42"/>
    <col collapsed="false" customWidth="true" hidden="false" outlineLevel="0" max="8" min="8" style="2" width="65.99"/>
    <col collapsed="false" customWidth="true" hidden="false" outlineLevel="0" max="9" min="9" style="3" width="10.7"/>
    <col collapsed="false" customWidth="true" hidden="false" outlineLevel="0" max="11" min="10" style="1" width="20.71"/>
    <col collapsed="false" customWidth="true" hidden="false" outlineLevel="0" max="12" min="12" style="4" width="7.71"/>
    <col collapsed="false" customWidth="true" hidden="false" outlineLevel="0" max="13" min="13" style="5" width="20.71"/>
    <col collapsed="false" customWidth="false" hidden="false" outlineLevel="0" max="257" min="14" style="1" width="21.13"/>
  </cols>
  <sheetData>
    <row r="1" customFormat="false" ht="14.1" hidden="false" customHeight="true" outlineLevel="0" collapsed="false">
      <c r="A1" s="6" t="s">
        <v>0</v>
      </c>
      <c r="B1" s="7"/>
      <c r="C1" s="8"/>
      <c r="D1" s="8"/>
      <c r="E1" s="8"/>
      <c r="F1" s="8"/>
      <c r="G1" s="8"/>
      <c r="H1" s="7"/>
      <c r="I1" s="9"/>
      <c r="J1" s="8"/>
      <c r="K1" s="8"/>
      <c r="L1" s="10"/>
      <c r="M1" s="11"/>
    </row>
    <row r="2" customFormat="false" ht="14.1" hidden="false" customHeight="true" outlineLevel="0" collapsed="false">
      <c r="A2" s="12" t="s">
        <v>1</v>
      </c>
      <c r="B2" s="13"/>
      <c r="C2" s="14"/>
      <c r="D2" s="14"/>
      <c r="E2" s="14"/>
      <c r="F2" s="14"/>
      <c r="G2" s="14"/>
      <c r="H2" s="13"/>
      <c r="I2" s="15"/>
      <c r="J2" s="14"/>
      <c r="K2" s="14"/>
      <c r="M2" s="16"/>
    </row>
    <row r="3" customFormat="false" ht="14.1" hidden="false" customHeight="true" outlineLevel="0" collapsed="false">
      <c r="A3" s="12" t="s">
        <v>2</v>
      </c>
      <c r="B3" s="13"/>
      <c r="C3" s="14"/>
      <c r="D3" s="14"/>
      <c r="E3" s="14"/>
      <c r="F3" s="14"/>
      <c r="G3" s="14"/>
      <c r="H3" s="13"/>
      <c r="I3" s="15"/>
      <c r="J3" s="14"/>
      <c r="K3" s="14"/>
      <c r="M3" s="16"/>
    </row>
    <row r="4" customFormat="false" ht="14.1" hidden="false" customHeight="true" outlineLevel="0" collapsed="false">
      <c r="A4" s="12" t="s">
        <v>3</v>
      </c>
      <c r="B4" s="13"/>
      <c r="C4" s="14"/>
      <c r="D4" s="14"/>
      <c r="E4" s="14"/>
      <c r="F4" s="14"/>
      <c r="G4" s="14"/>
      <c r="H4" s="13"/>
      <c r="I4" s="15"/>
      <c r="J4" s="14"/>
      <c r="K4" s="14"/>
      <c r="M4" s="16"/>
    </row>
    <row r="5" customFormat="false" ht="14.1" hidden="false" customHeight="true" outlineLevel="0" collapsed="false">
      <c r="A5" s="12" t="s">
        <v>4</v>
      </c>
      <c r="B5" s="13"/>
      <c r="C5" s="14"/>
      <c r="D5" s="14"/>
      <c r="E5" s="14"/>
      <c r="F5" s="14"/>
      <c r="G5" s="14"/>
      <c r="H5" s="13"/>
      <c r="I5" s="15"/>
      <c r="J5" s="14"/>
      <c r="K5" s="14"/>
      <c r="M5" s="16"/>
    </row>
    <row r="6" customFormat="false" ht="14.1" hidden="false" customHeight="true" outlineLevel="0" collapsed="false">
      <c r="A6" s="12" t="s">
        <v>5</v>
      </c>
      <c r="B6" s="13"/>
      <c r="C6" s="14"/>
      <c r="D6" s="14"/>
      <c r="E6" s="14"/>
      <c r="F6" s="14"/>
      <c r="G6" s="14"/>
      <c r="H6" s="13"/>
      <c r="I6" s="15"/>
      <c r="J6" s="14"/>
      <c r="K6" s="14"/>
      <c r="M6" s="16"/>
    </row>
    <row r="7" customFormat="false" ht="14.1" hidden="false" customHeight="true" outlineLevel="0" collapsed="false">
      <c r="A7" s="12" t="s">
        <v>6</v>
      </c>
      <c r="B7" s="13"/>
      <c r="C7" s="14"/>
      <c r="D7" s="14"/>
      <c r="E7" s="14"/>
      <c r="F7" s="14"/>
      <c r="G7" s="14"/>
      <c r="H7" s="13"/>
      <c r="I7" s="15"/>
      <c r="J7" s="14"/>
      <c r="K7" s="14"/>
      <c r="M7" s="16"/>
    </row>
    <row r="8" customFormat="false" ht="14.1" hidden="false" customHeight="true" outlineLevel="0" collapsed="false">
      <c r="A8" s="17" t="s">
        <v>7</v>
      </c>
      <c r="B8" s="18"/>
      <c r="C8" s="19"/>
      <c r="D8" s="19"/>
      <c r="E8" s="19"/>
      <c r="F8" s="19"/>
      <c r="G8" s="20"/>
      <c r="H8" s="21"/>
      <c r="I8" s="22"/>
      <c r="J8" s="20"/>
      <c r="K8" s="20"/>
      <c r="L8" s="23"/>
      <c r="M8" s="24"/>
    </row>
    <row r="9" customFormat="false" ht="14.1" hidden="false" customHeight="true" outlineLevel="0" collapsed="false">
      <c r="A9" s="25" t="s">
        <v>8</v>
      </c>
      <c r="B9" s="7"/>
      <c r="C9" s="8"/>
      <c r="D9" s="8"/>
      <c r="E9" s="8"/>
      <c r="F9" s="8"/>
      <c r="G9" s="26"/>
      <c r="H9" s="27"/>
      <c r="I9" s="28"/>
      <c r="J9" s="26"/>
      <c r="K9" s="26"/>
      <c r="L9" s="29" t="s">
        <v>9</v>
      </c>
      <c r="M9" s="30"/>
    </row>
    <row r="10" customFormat="false" ht="14.1" hidden="false" customHeight="true" outlineLevel="0" collapsed="false">
      <c r="A10" s="12"/>
      <c r="B10" s="13"/>
      <c r="C10" s="14"/>
      <c r="D10" s="14"/>
      <c r="E10" s="14"/>
      <c r="F10" s="14"/>
      <c r="G10" s="31"/>
      <c r="H10" s="32"/>
      <c r="I10" s="33"/>
      <c r="J10" s="31"/>
      <c r="K10" s="31"/>
      <c r="L10" s="34"/>
      <c r="M10" s="35"/>
    </row>
    <row r="11" customFormat="false" ht="14.1" hidden="false" customHeight="true" outlineLevel="0" collapsed="false">
      <c r="A11" s="12"/>
      <c r="B11" s="13"/>
      <c r="C11" s="14"/>
      <c r="D11" s="14"/>
      <c r="E11" s="14"/>
      <c r="F11" s="14"/>
      <c r="G11" s="31"/>
      <c r="H11" s="32"/>
      <c r="I11" s="33"/>
      <c r="J11" s="36" t="s">
        <v>10</v>
      </c>
      <c r="K11" s="31"/>
      <c r="L11" s="34"/>
      <c r="M11" s="35"/>
    </row>
    <row r="12" customFormat="false" ht="14.1" hidden="false" customHeight="true" outlineLevel="0" collapsed="false">
      <c r="A12" s="12"/>
      <c r="B12" s="13"/>
      <c r="C12" s="14"/>
      <c r="D12" s="14"/>
      <c r="E12" s="14"/>
      <c r="F12" s="14"/>
      <c r="G12" s="31"/>
      <c r="H12" s="32"/>
      <c r="I12" s="33"/>
      <c r="J12" s="36" t="s">
        <v>11</v>
      </c>
      <c r="K12" s="31"/>
      <c r="L12" s="34"/>
      <c r="M12" s="35"/>
    </row>
    <row r="13" customFormat="false" ht="14.1" hidden="false" customHeight="true" outlineLevel="0" collapsed="false">
      <c r="A13" s="12"/>
      <c r="B13" s="13"/>
      <c r="C13" s="14"/>
      <c r="D13" s="14"/>
      <c r="E13" s="14"/>
      <c r="F13" s="14"/>
      <c r="G13" s="31"/>
      <c r="H13" s="32"/>
      <c r="I13" s="33"/>
      <c r="J13" s="36" t="s">
        <v>12</v>
      </c>
      <c r="K13" s="31"/>
      <c r="L13" s="34"/>
      <c r="M13" s="35"/>
    </row>
    <row r="14" customFormat="false" ht="14.1" hidden="false" customHeight="true" outlineLevel="0" collapsed="false">
      <c r="A14" s="37"/>
      <c r="B14" s="13"/>
      <c r="C14" s="14"/>
      <c r="D14" s="14"/>
      <c r="E14" s="14"/>
      <c r="F14" s="14"/>
      <c r="G14" s="14"/>
      <c r="H14" s="13"/>
      <c r="I14" s="15"/>
      <c r="J14" s="14"/>
      <c r="K14" s="14"/>
      <c r="L14" s="38"/>
      <c r="M14" s="16"/>
    </row>
    <row r="15" customFormat="false" ht="14.1" hidden="false" customHeight="true" outlineLevel="0" collapsed="false">
      <c r="A15" s="12"/>
      <c r="B15" s="13"/>
      <c r="C15" s="14"/>
      <c r="D15" s="14"/>
      <c r="E15" s="14"/>
      <c r="F15" s="14"/>
      <c r="G15" s="14"/>
      <c r="H15" s="13"/>
      <c r="I15" s="15"/>
      <c r="J15" s="14"/>
      <c r="K15" s="14"/>
      <c r="M15" s="16"/>
    </row>
    <row r="16" customFormat="false" ht="14.1" hidden="false" customHeight="true" outlineLevel="0" collapsed="false">
      <c r="A16" s="39" t="s">
        <v>13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</row>
    <row r="17" customFormat="false" ht="14.1" hidden="false" customHeight="true" outlineLevel="0" collapsed="false">
      <c r="A17" s="39" t="s">
        <v>14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</row>
    <row r="18" customFormat="false" ht="14.1" hidden="false" customHeight="true" outlineLevel="0" collapsed="false">
      <c r="A18" s="12" t="s">
        <v>15</v>
      </c>
      <c r="B18" s="13"/>
      <c r="C18" s="15"/>
      <c r="D18" s="15"/>
      <c r="E18" s="15"/>
      <c r="F18" s="15"/>
      <c r="G18" s="15"/>
      <c r="H18" s="13"/>
      <c r="I18" s="15"/>
      <c r="J18" s="15"/>
      <c r="K18" s="15"/>
      <c r="L18" s="38"/>
      <c r="M18" s="40"/>
    </row>
    <row r="19" customFormat="false" ht="14.1" hidden="false" customHeight="true" outlineLevel="0" collapsed="false">
      <c r="A19" s="39" t="s">
        <v>16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customFormat="false" ht="20.1" hidden="false" customHeight="true" outlineLevel="0" collapsed="false">
      <c r="A20" s="41" t="s">
        <v>17</v>
      </c>
      <c r="B20" s="42" t="s">
        <v>18</v>
      </c>
      <c r="C20" s="42" t="s">
        <v>19</v>
      </c>
      <c r="D20" s="42" t="s">
        <v>20</v>
      </c>
      <c r="E20" s="42" t="s">
        <v>21</v>
      </c>
      <c r="F20" s="42" t="s">
        <v>22</v>
      </c>
      <c r="G20" s="42" t="s">
        <v>23</v>
      </c>
      <c r="H20" s="43" t="s">
        <v>24</v>
      </c>
      <c r="I20" s="42" t="s">
        <v>25</v>
      </c>
      <c r="J20" s="44" t="s">
        <v>26</v>
      </c>
      <c r="K20" s="45" t="s">
        <v>27</v>
      </c>
      <c r="L20" s="46" t="s">
        <v>28</v>
      </c>
      <c r="M20" s="47" t="s">
        <v>29</v>
      </c>
    </row>
    <row r="21" customFormat="false" ht="140.25" hidden="false" customHeight="true" outlineLevel="0" collapsed="false">
      <c r="A21" s="48" t="n">
        <v>1</v>
      </c>
      <c r="B21" s="49" t="s">
        <v>30</v>
      </c>
      <c r="C21" s="50" t="n">
        <v>1</v>
      </c>
      <c r="D21" s="51" t="s">
        <v>31</v>
      </c>
      <c r="E21" s="52" t="s">
        <v>32</v>
      </c>
      <c r="F21" s="53" t="s">
        <v>33</v>
      </c>
      <c r="G21" s="51"/>
      <c r="H21" s="54" t="s">
        <v>34</v>
      </c>
      <c r="I21" s="51" t="n">
        <v>73269099</v>
      </c>
      <c r="J21" s="55" t="n">
        <v>29500</v>
      </c>
      <c r="K21" s="55" t="n">
        <f aca="false">J21*C21</f>
        <v>29500</v>
      </c>
      <c r="L21" s="56" t="n">
        <v>0.18</v>
      </c>
      <c r="M21" s="57" t="n">
        <f aca="false">L21*K21</f>
        <v>5310</v>
      </c>
      <c r="N21" s="58"/>
    </row>
    <row r="22" customFormat="false" ht="30.75" hidden="false" customHeight="false" outlineLevel="0" collapsed="false">
      <c r="A22" s="59" t="n">
        <v>2</v>
      </c>
      <c r="B22" s="60" t="s">
        <v>35</v>
      </c>
      <c r="C22" s="61" t="n">
        <v>1</v>
      </c>
      <c r="D22" s="62"/>
      <c r="E22" s="63"/>
      <c r="F22" s="63"/>
      <c r="G22" s="64"/>
      <c r="H22" s="60" t="s">
        <v>35</v>
      </c>
      <c r="I22" s="62"/>
      <c r="J22" s="65" t="n">
        <v>3000</v>
      </c>
      <c r="K22" s="65" t="n">
        <f aca="false">J22*C22</f>
        <v>3000</v>
      </c>
      <c r="L22" s="66" t="n">
        <v>0.18</v>
      </c>
      <c r="M22" s="67" t="n">
        <f aca="false">L22*K22</f>
        <v>540</v>
      </c>
      <c r="N22" s="58"/>
    </row>
    <row r="23" customFormat="false" ht="20.1" hidden="false" customHeight="true" outlineLevel="0" collapsed="false">
      <c r="A23" s="68" t="s">
        <v>36</v>
      </c>
      <c r="B23" s="68"/>
      <c r="C23" s="68"/>
      <c r="D23" s="68"/>
      <c r="E23" s="68"/>
      <c r="F23" s="68"/>
      <c r="G23" s="68"/>
      <c r="H23" s="68"/>
      <c r="I23" s="68"/>
      <c r="J23" s="68"/>
      <c r="K23" s="69" t="n">
        <f aca="false">SUM(K21:K22)</f>
        <v>32500</v>
      </c>
      <c r="L23" s="70"/>
      <c r="M23" s="71" t="n">
        <f aca="false">SUM(M21:M22)</f>
        <v>5850</v>
      </c>
    </row>
    <row r="24" customFormat="false" ht="20.1" hidden="false" customHeight="true" outlineLevel="0" collapsed="false">
      <c r="A24" s="72" t="s">
        <v>37</v>
      </c>
      <c r="B24" s="72"/>
      <c r="C24" s="72"/>
      <c r="D24" s="72"/>
      <c r="E24" s="72"/>
      <c r="F24" s="72"/>
      <c r="G24" s="72"/>
      <c r="H24" s="72"/>
      <c r="I24" s="72"/>
      <c r="J24" s="72"/>
      <c r="K24" s="73" t="n">
        <f aca="false">M23</f>
        <v>5850</v>
      </c>
      <c r="L24" s="74"/>
      <c r="M24" s="75"/>
    </row>
    <row r="25" customFormat="false" ht="20.1" hidden="false" customHeight="true" outlineLevel="0" collapsed="false">
      <c r="A25" s="76" t="s">
        <v>38</v>
      </c>
      <c r="B25" s="76"/>
      <c r="C25" s="76"/>
      <c r="D25" s="76"/>
      <c r="E25" s="76"/>
      <c r="F25" s="76"/>
      <c r="G25" s="76"/>
      <c r="H25" s="76"/>
      <c r="I25" s="76"/>
      <c r="J25" s="76"/>
      <c r="K25" s="77" t="n">
        <f aca="false">K23+K24</f>
        <v>38350</v>
      </c>
      <c r="L25" s="78"/>
      <c r="M25" s="79"/>
    </row>
    <row r="26" customFormat="false" ht="14.1" hidden="false" customHeight="true" outlineLevel="0" collapsed="false">
      <c r="A26" s="80" t="s">
        <v>39</v>
      </c>
      <c r="B26" s="81"/>
      <c r="C26" s="14"/>
      <c r="D26" s="14"/>
      <c r="E26" s="14"/>
      <c r="F26" s="14"/>
      <c r="G26" s="15"/>
      <c r="H26" s="13"/>
      <c r="I26" s="15"/>
      <c r="J26" s="14"/>
      <c r="K26" s="14"/>
      <c r="M26" s="16"/>
    </row>
    <row r="27" customFormat="false" ht="14.25" hidden="false" customHeight="true" outlineLevel="0" collapsed="false">
      <c r="A27" s="82" t="s">
        <v>40</v>
      </c>
      <c r="B27" s="83"/>
      <c r="C27" s="84"/>
      <c r="D27" s="84"/>
      <c r="E27" s="84"/>
      <c r="F27" s="84"/>
      <c r="G27" s="15"/>
      <c r="H27" s="13"/>
      <c r="I27" s="15"/>
      <c r="J27" s="14"/>
      <c r="K27" s="14"/>
      <c r="M27" s="16"/>
    </row>
    <row r="28" customFormat="false" ht="14.1" hidden="false" customHeight="true" outlineLevel="0" collapsed="false">
      <c r="A28" s="82" t="s">
        <v>41</v>
      </c>
      <c r="B28" s="83"/>
      <c r="C28" s="84"/>
      <c r="D28" s="84"/>
      <c r="E28" s="84"/>
      <c r="F28" s="84"/>
      <c r="G28" s="15"/>
      <c r="H28" s="13"/>
      <c r="I28" s="15"/>
      <c r="J28" s="14"/>
      <c r="K28" s="14"/>
      <c r="M28" s="16"/>
    </row>
    <row r="29" customFormat="false" ht="14.1" hidden="false" customHeight="true" outlineLevel="0" collapsed="false">
      <c r="A29" s="82" t="s">
        <v>42</v>
      </c>
      <c r="B29" s="83"/>
      <c r="C29" s="84"/>
      <c r="D29" s="84"/>
      <c r="E29" s="84"/>
      <c r="F29" s="84"/>
      <c r="G29" s="15"/>
      <c r="H29" s="13"/>
      <c r="I29" s="15"/>
      <c r="J29" s="14"/>
      <c r="K29" s="14"/>
      <c r="M29" s="16"/>
    </row>
    <row r="30" customFormat="false" ht="14.1" hidden="false" customHeight="true" outlineLevel="0" collapsed="false">
      <c r="A30" s="82" t="s">
        <v>43</v>
      </c>
      <c r="B30" s="83"/>
      <c r="C30" s="84"/>
      <c r="D30" s="84"/>
      <c r="E30" s="84"/>
      <c r="F30" s="84"/>
      <c r="G30" s="15"/>
      <c r="H30" s="13"/>
      <c r="I30" s="15"/>
      <c r="J30" s="14"/>
      <c r="K30" s="14"/>
      <c r="M30" s="16"/>
    </row>
    <row r="31" customFormat="false" ht="14.1" hidden="false" customHeight="true" outlineLevel="0" collapsed="false">
      <c r="A31" s="82" t="s">
        <v>44</v>
      </c>
      <c r="B31" s="83"/>
      <c r="C31" s="84"/>
      <c r="D31" s="84"/>
      <c r="E31" s="84"/>
      <c r="F31" s="84"/>
      <c r="G31" s="15"/>
      <c r="H31" s="13"/>
      <c r="I31" s="15"/>
      <c r="J31" s="14"/>
      <c r="K31" s="14"/>
      <c r="M31" s="16"/>
    </row>
    <row r="32" customFormat="false" ht="14.1" hidden="false" customHeight="true" outlineLevel="0" collapsed="false">
      <c r="A32" s="85" t="s">
        <v>45</v>
      </c>
      <c r="B32" s="86"/>
      <c r="C32" s="8"/>
      <c r="D32" s="8"/>
      <c r="E32" s="8"/>
      <c r="F32" s="8"/>
      <c r="G32" s="9"/>
      <c r="H32" s="7"/>
      <c r="I32" s="9"/>
      <c r="J32" s="8"/>
      <c r="K32" s="8"/>
      <c r="L32" s="10"/>
      <c r="M32" s="11"/>
    </row>
    <row r="33" customFormat="false" ht="15" hidden="false" customHeight="false" outlineLevel="0" collapsed="false">
      <c r="A33" s="87" t="s">
        <v>46</v>
      </c>
      <c r="B33" s="13"/>
      <c r="C33" s="14"/>
      <c r="D33" s="14"/>
      <c r="E33" s="14"/>
      <c r="F33" s="14"/>
      <c r="G33" s="15"/>
      <c r="H33" s="13"/>
      <c r="I33" s="15"/>
      <c r="J33" s="14"/>
      <c r="K33" s="14"/>
      <c r="M33" s="16"/>
    </row>
    <row r="34" customFormat="false" ht="15" hidden="false" customHeight="false" outlineLevel="0" collapsed="false">
      <c r="A34" s="87" t="s">
        <v>47</v>
      </c>
      <c r="B34" s="13"/>
      <c r="C34" s="14"/>
      <c r="D34" s="14"/>
      <c r="E34" s="14"/>
      <c r="F34" s="14"/>
      <c r="G34" s="15"/>
      <c r="H34" s="13"/>
      <c r="I34" s="15"/>
      <c r="J34" s="14"/>
      <c r="K34" s="14"/>
      <c r="M34" s="16"/>
    </row>
    <row r="35" customFormat="false" ht="15" hidden="false" customHeight="false" outlineLevel="0" collapsed="false">
      <c r="A35" s="87" t="s">
        <v>48</v>
      </c>
      <c r="B35" s="13"/>
      <c r="C35" s="14"/>
      <c r="D35" s="14"/>
      <c r="E35" s="14"/>
      <c r="F35" s="14"/>
      <c r="G35" s="15"/>
      <c r="H35" s="13"/>
      <c r="I35" s="15"/>
      <c r="J35" s="88" t="s">
        <v>49</v>
      </c>
      <c r="K35" s="88"/>
      <c r="L35" s="38"/>
      <c r="M35" s="89"/>
    </row>
    <row r="36" customFormat="false" ht="15" hidden="false" customHeight="false" outlineLevel="0" collapsed="false">
      <c r="A36" s="87" t="s">
        <v>50</v>
      </c>
      <c r="B36" s="13"/>
      <c r="C36" s="14"/>
      <c r="D36" s="14"/>
      <c r="E36" s="14"/>
      <c r="F36" s="14"/>
      <c r="G36" s="15"/>
      <c r="H36" s="13"/>
      <c r="I36" s="15"/>
      <c r="J36" s="88"/>
      <c r="K36" s="88"/>
      <c r="L36" s="38"/>
      <c r="M36" s="89"/>
    </row>
    <row r="37" customFormat="false" ht="15" hidden="false" customHeight="false" outlineLevel="0" collapsed="false">
      <c r="A37" s="87" t="s">
        <v>51</v>
      </c>
      <c r="B37" s="13"/>
      <c r="C37" s="14"/>
      <c r="D37" s="14"/>
      <c r="E37" s="14"/>
      <c r="F37" s="14"/>
      <c r="G37" s="15"/>
      <c r="H37" s="13"/>
      <c r="I37" s="15"/>
      <c r="J37" s="88" t="s">
        <v>52</v>
      </c>
      <c r="K37" s="88"/>
      <c r="L37" s="38"/>
      <c r="M37" s="89"/>
    </row>
    <row r="38" customFormat="false" ht="15" hidden="false" customHeight="false" outlineLevel="0" collapsed="false">
      <c r="A38" s="87" t="s">
        <v>53</v>
      </c>
      <c r="B38" s="13"/>
      <c r="C38" s="14"/>
      <c r="D38" s="14"/>
      <c r="E38" s="14"/>
      <c r="F38" s="14"/>
      <c r="G38" s="15"/>
      <c r="H38" s="13"/>
      <c r="I38" s="15"/>
      <c r="J38" s="88" t="s">
        <v>54</v>
      </c>
      <c r="K38" s="88"/>
      <c r="L38" s="38"/>
      <c r="M38" s="89"/>
    </row>
    <row r="39" customFormat="false" ht="15.75" hidden="false" customHeight="false" outlineLevel="0" collapsed="false">
      <c r="A39" s="90" t="s">
        <v>55</v>
      </c>
      <c r="B39" s="21"/>
      <c r="C39" s="20"/>
      <c r="D39" s="20"/>
      <c r="E39" s="20"/>
      <c r="F39" s="20"/>
      <c r="G39" s="20"/>
      <c r="H39" s="21"/>
      <c r="I39" s="22"/>
      <c r="J39" s="20"/>
      <c r="K39" s="20"/>
      <c r="L39" s="23"/>
      <c r="M39" s="24"/>
    </row>
  </sheetData>
  <mergeCells count="6">
    <mergeCell ref="A16:M16"/>
    <mergeCell ref="A17:M17"/>
    <mergeCell ref="A19:M19"/>
    <mergeCell ref="A23:J23"/>
    <mergeCell ref="A24:J24"/>
    <mergeCell ref="A25:J25"/>
  </mergeCells>
  <conditionalFormatting sqref="G22">
    <cfRule type="expression" priority="2" aboveAverage="0" equalAverage="0" bottom="0" percent="0" rank="0" text="" dxfId="0">
      <formula>AND(COUNTIF($G$22:$G$22,G22)&gt;1,NOT(ISBLANK(G22)))</formula>
    </cfRule>
  </conditionalFormatting>
  <conditionalFormatting sqref="E21">
    <cfRule type="expression" priority="3" aboveAverage="0" equalAverage="0" bottom="0" percent="0" rank="0" text="" dxfId="1">
      <formula>AND(COUNTIF($E$21:$E$21,E21)&gt;1,NOT(ISBLANK(E21)))</formula>
    </cfRule>
  </conditionalFormatting>
  <conditionalFormatting sqref="E21">
    <cfRule type="expression" priority="4" aboveAverage="0" equalAverage="0" bottom="0" percent="0" rank="0" text="" dxfId="2">
      <formula>AND(COUNTIF($E$21:$E$21,E21)&gt;1,NOT(ISBLANK(E21)))</formula>
    </cfRule>
  </conditionalFormatting>
  <printOptions headings="false" gridLines="false" gridLinesSet="true" horizontalCentered="false" verticalCentered="false"/>
  <pageMargins left="0.196527777777778" right="0.196527777777778" top="0.196527777777778" bottom="0.196527777777778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2018-01-25T16:22:27Z</dcterms:created>
  <dc:creator>Melange</dc:creator>
  <dc:description/>
  <dc:language>en-US</dc:language>
  <cp:lastModifiedBy>Melange</cp:lastModifiedBy>
  <cp:lastPrinted>2026-07-13T12:09:27Z</cp:lastPrinted>
  <dcterms:modified xsi:type="dcterms:W3CDTF">2026-07-23T11:40:48Z</dcterms:modified>
  <cp:revision>0</cp:revision>
  <dc:subject/>
  <dc:title/>
</cp:coreProperties>
</file>