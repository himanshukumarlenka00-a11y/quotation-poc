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QUOTE" sheetId="1" state="visible" r:id="rId1"/>
  </sheets>
  <definedNames>
    <definedName name="_xlnm.Print_Area" localSheetId="0">'QUOTE'!$A$1:$M$39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5">
    <numFmt numFmtId="164" formatCode="_ &quot;₹ &quot;* #,##0.00_ ;_ &quot;₹ &quot;* \-#,##0.00_ ;_ &quot;₹ &quot;* \-??_ ;_ @_ "/>
    <numFmt numFmtId="165" formatCode="_ [$INR]\ * #,##0.00_ ;_ [$INR]\ * \-#,##0.00_ ;_ [$INR]\ * \-??_ ;_ @_ "/>
    <numFmt numFmtId="166" formatCode="_-[$$-409]* #,##0.00_ ;_-[$$-409]* \-#,##0.00\ ;_-[$$-409]* \-??_ ;_-@_ "/>
    <numFmt numFmtId="167" formatCode="_ [$₹-4009]\ * #,##0.00_ ;_ [$₹-4009]\ * \-#,##0.00_ ;_ [$₹-4009]\ * \-??_ ;_ @_ "/>
    <numFmt numFmtId="168" formatCode="_ * #,##0.00_ ;_ * \-#,##0.00_ ;_ * \-??_ ;_ @_ "/>
  </numFmts>
  <fonts count="18">
    <font>
      <name val="Calibri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宋体"/>
      <charset val="134"/>
      <family val="0"/>
      <sz val="12"/>
    </font>
    <font>
      <name val="Calibri"/>
      <family val="2"/>
      <color rgb="FF000000"/>
      <sz val="10"/>
    </font>
    <font>
      <name val="Arial"/>
      <family val="2"/>
      <sz val="10"/>
    </font>
    <font>
      <name val="Arial"/>
      <family val="2"/>
      <color rgb="FF000000"/>
      <sz val="11"/>
    </font>
    <font>
      <name val="Calibri"/>
      <family val="2"/>
      <color rgb="FF000000"/>
      <sz val="12"/>
    </font>
    <font>
      <name val="Times New Roman"/>
      <family val="1"/>
      <color rgb="FF000000"/>
      <sz val="10"/>
    </font>
    <font>
      <name val="宋体"/>
      <charset val="134"/>
      <family val="0"/>
      <color rgb="FF000000"/>
      <sz val="11"/>
    </font>
    <font>
      <name val="Times New Roman"/>
      <family val="1"/>
      <sz val="12"/>
    </font>
    <font>
      <name val="Calibri"/>
      <family val="2"/>
      <color rgb="FFFF0000"/>
      <sz val="11"/>
    </font>
    <font>
      <name val="Calibri"/>
      <family val="2"/>
      <color rgb="FF0000FF"/>
      <sz val="11"/>
      <u val="single"/>
    </font>
    <font>
      <name val="Calibri"/>
      <family val="2"/>
      <color rgb="FFFFFFFF"/>
      <sz val="11"/>
    </font>
    <font>
      <name val="Calibri"/>
      <family val="2"/>
      <color rgb="FF333333"/>
      <sz val="11"/>
    </font>
    <font>
      <name val="Calibri"/>
      <family val="2"/>
      <sz val="11"/>
    </font>
    <font>
      <name val="Calibri"/>
      <family val="2"/>
      <color rgb="FF000000"/>
      <sz val="11"/>
      <u val="single"/>
    </font>
  </fonts>
  <fills count="5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0000"/>
        <bgColor rgb="FF003300"/>
      </patternFill>
    </fill>
    <fill>
      <patternFill patternType="solid">
        <fgColor rgb="FF969696"/>
        <bgColor rgb="FF808080"/>
      </patternFill>
    </fill>
  </fills>
  <borders count="35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/>
      <bottom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/>
      <diagonal/>
    </border>
    <border>
      <left style="thin"/>
      <right style="medium"/>
      <top style="medium"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thin"/>
      <diagonal/>
    </border>
    <border>
      <left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 style="thin"/>
      <top style="medium"/>
      <bottom/>
      <diagonal/>
    </border>
    <border>
      <left/>
      <right/>
      <top style="medium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/>
      <top style="thin"/>
      <bottom style="medium"/>
      <diagonal/>
    </border>
  </borders>
  <cellStyleXfs count="19">
    <xf numFmtId="0" fontId="0" fillId="0" borderId="0" applyAlignment="1">
      <alignment horizontal="general" vertical="bottom"/>
    </xf>
    <xf numFmtId="168" fontId="0" fillId="0" borderId="0"/>
    <xf numFmtId="41" fontId="3" fillId="0" borderId="0"/>
    <xf numFmtId="164" fontId="0" fillId="0" borderId="0"/>
    <xf numFmtId="42" fontId="3" fillId="0" borderId="0"/>
    <xf numFmtId="9" fontId="0" fillId="0" borderId="0"/>
    <xf numFmtId="0" fontId="13" fillId="0" borderId="0"/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8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center"/>
    </xf>
    <xf numFmtId="0" fontId="11" fillId="0" borderId="0" applyAlignment="1">
      <alignment horizontal="general" vertical="bottom"/>
    </xf>
  </cellStyleXfs>
  <cellXfs count="186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left" vertical="center"/>
    </xf>
    <xf numFmtId="0" fontId="0" fillId="2" borderId="0" applyAlignment="1" pivotButton="0" quotePrefix="0" xfId="0">
      <alignment horizontal="center" vertical="center"/>
    </xf>
    <xf numFmtId="9" fontId="0" fillId="2" borderId="0" applyAlignment="1" pivotButton="0" quotePrefix="0" xfId="19">
      <alignment horizontal="general" vertical="center"/>
    </xf>
    <xf numFmtId="164" fontId="0" fillId="2" borderId="0" applyAlignment="1" pivotButton="0" quotePrefix="0" xfId="17">
      <alignment horizontal="general" vertical="center"/>
    </xf>
    <xf numFmtId="0" fontId="12" fillId="2" borderId="1" applyAlignment="1" pivotButton="0" quotePrefix="0" xfId="0">
      <alignment horizontal="left" vertical="center"/>
    </xf>
    <xf numFmtId="0" fontId="0" fillId="2" borderId="2" applyAlignment="1" pivotButton="0" quotePrefix="0" xfId="0">
      <alignment horizontal="left" vertical="center"/>
    </xf>
    <xf numFmtId="0" fontId="0" fillId="2" borderId="2" applyAlignment="1" pivotButton="0" quotePrefix="0" xfId="0">
      <alignment horizontal="general" vertical="center"/>
    </xf>
    <xf numFmtId="0" fontId="0" fillId="2" borderId="2" applyAlignment="1" pivotButton="0" quotePrefix="0" xfId="0">
      <alignment horizontal="center" vertical="center"/>
    </xf>
    <xf numFmtId="9" fontId="0" fillId="2" borderId="2" applyAlignment="1" pivotButton="0" quotePrefix="0" xfId="19">
      <alignment horizontal="general" vertical="center"/>
    </xf>
    <xf numFmtId="164" fontId="0" fillId="2" borderId="3" applyAlignment="1" pivotButton="0" quotePrefix="0" xfId="17">
      <alignment horizontal="general" vertical="center"/>
    </xf>
    <xf numFmtId="0" fontId="0" fillId="2" borderId="4" applyAlignment="1" pivotButton="0" quotePrefix="0" xfId="0">
      <alignment horizontal="left" vertical="center"/>
    </xf>
    <xf numFmtId="0" fontId="0" fillId="2" borderId="0" applyAlignment="1" pivotButton="0" quotePrefix="0" xfId="0">
      <alignment horizontal="left" vertical="center"/>
    </xf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center" vertical="center"/>
    </xf>
    <xf numFmtId="164" fontId="0" fillId="2" borderId="5" applyAlignment="1" pivotButton="0" quotePrefix="0" xfId="17">
      <alignment horizontal="general" vertical="center"/>
    </xf>
    <xf numFmtId="0" fontId="13" fillId="2" borderId="6" applyAlignment="1" pivotButton="0" quotePrefix="0" xfId="20">
      <alignment horizontal="left" vertical="center"/>
    </xf>
    <xf numFmtId="0" fontId="13" fillId="2" borderId="7" applyAlignment="1" pivotButton="0" quotePrefix="0" xfId="20">
      <alignment horizontal="left" vertical="center"/>
    </xf>
    <xf numFmtId="0" fontId="13" fillId="2" borderId="7" applyAlignment="1" pivotButton="0" quotePrefix="0" xfId="20">
      <alignment horizontal="general" vertical="center"/>
    </xf>
    <xf numFmtId="0" fontId="0" fillId="2" borderId="7" applyAlignment="1" pivotButton="0" quotePrefix="0" xfId="0">
      <alignment horizontal="general" vertical="center"/>
    </xf>
    <xf numFmtId="0" fontId="0" fillId="2" borderId="7" applyAlignment="1" pivotButton="0" quotePrefix="0" xfId="0">
      <alignment horizontal="left" vertical="center"/>
    </xf>
    <xf numFmtId="0" fontId="0" fillId="2" borderId="7" applyAlignment="1" pivotButton="0" quotePrefix="0" xfId="0">
      <alignment horizontal="center" vertical="center"/>
    </xf>
    <xf numFmtId="9" fontId="0" fillId="2" borderId="7" applyAlignment="1" pivotButton="0" quotePrefix="0" xfId="19">
      <alignment horizontal="general" vertical="center"/>
    </xf>
    <xf numFmtId="164" fontId="0" fillId="2" borderId="8" applyAlignment="1" pivotButton="0" quotePrefix="0" xfId="17">
      <alignment horizontal="general" vertical="center"/>
    </xf>
    <xf numFmtId="0" fontId="0" fillId="2" borderId="1" applyAlignment="1" pivotButton="0" quotePrefix="0" xfId="0">
      <alignment horizontal="left" vertical="center"/>
    </xf>
    <xf numFmtId="165" fontId="0" fillId="2" borderId="2" applyAlignment="1" pivotButton="0" quotePrefix="0" xfId="0">
      <alignment horizontal="right" vertical="center"/>
    </xf>
    <xf numFmtId="165" fontId="0" fillId="2" borderId="2" applyAlignment="1" pivotButton="0" quotePrefix="0" xfId="0">
      <alignment horizontal="left" vertical="center"/>
    </xf>
    <xf numFmtId="165" fontId="0" fillId="2" borderId="2" applyAlignment="1" pivotButton="0" quotePrefix="0" xfId="0">
      <alignment horizontal="center" vertical="center"/>
    </xf>
    <xf numFmtId="9" fontId="0" fillId="2" borderId="2" applyAlignment="1" pivotButton="0" quotePrefix="0" xfId="19">
      <alignment horizontal="right" vertical="center"/>
    </xf>
    <xf numFmtId="164" fontId="0" fillId="2" borderId="3" applyAlignment="1" pivotButton="0" quotePrefix="0" xfId="17">
      <alignment horizontal="right" vertical="center"/>
    </xf>
    <xf numFmtId="165" fontId="0" fillId="2" borderId="0" applyAlignment="1" pivotButton="0" quotePrefix="0" xfId="0">
      <alignment horizontal="right" vertical="center"/>
    </xf>
    <xf numFmtId="165" fontId="0" fillId="2" borderId="0" applyAlignment="1" pivotButton="0" quotePrefix="0" xfId="0">
      <alignment horizontal="left" vertical="center"/>
    </xf>
    <xf numFmtId="165" fontId="0" fillId="2" borderId="0" applyAlignment="1" pivotButton="0" quotePrefix="0" xfId="0">
      <alignment horizontal="center" vertical="center"/>
    </xf>
    <xf numFmtId="9" fontId="0" fillId="2" borderId="0" applyAlignment="1" pivotButton="0" quotePrefix="0" xfId="19">
      <alignment horizontal="right" vertical="center"/>
    </xf>
    <xf numFmtId="164" fontId="0" fillId="2" borderId="5" applyAlignment="1" pivotButton="0" quotePrefix="0" xfId="17">
      <alignment horizontal="right" vertical="center"/>
    </xf>
    <xf numFmtId="0" fontId="0" fillId="2" borderId="0" applyAlignment="1" pivotButton="0" quotePrefix="0" xfId="21">
      <alignment horizontal="right" vertical="center"/>
    </xf>
    <xf numFmtId="0" fontId="0" fillId="2" borderId="4" applyAlignment="1" pivotButton="0" quotePrefix="0" xfId="0">
      <alignment horizontal="left" vertical="center" wrapText="1"/>
    </xf>
    <xf numFmtId="9" fontId="0" fillId="2" borderId="0" applyAlignment="1" pivotButton="0" quotePrefix="0" xfId="19">
      <alignment horizontal="center" vertical="center"/>
    </xf>
    <xf numFmtId="0" fontId="0" fillId="2" borderId="9" applyAlignment="1" pivotButton="0" quotePrefix="0" xfId="0">
      <alignment horizontal="center" vertical="center"/>
    </xf>
    <xf numFmtId="164" fontId="0" fillId="2" borderId="5" applyAlignment="1" pivotButton="0" quotePrefix="0" xfId="17">
      <alignment horizontal="center" vertical="center"/>
    </xf>
    <xf numFmtId="0" fontId="14" fillId="3" borderId="10" applyAlignment="1" pivotButton="0" quotePrefix="0" xfId="0">
      <alignment horizontal="center" vertical="center"/>
    </xf>
    <xf numFmtId="0" fontId="14" fillId="3" borderId="11" applyAlignment="1" pivotButton="0" quotePrefix="0" xfId="0">
      <alignment horizontal="center" vertical="center"/>
    </xf>
    <xf numFmtId="0" fontId="14" fillId="3" borderId="11" applyAlignment="1" pivotButton="0" quotePrefix="0" xfId="0">
      <alignment horizontal="left" vertical="center"/>
    </xf>
    <xf numFmtId="166" fontId="14" fillId="3" borderId="11" applyAlignment="1" pivotButton="0" quotePrefix="0" xfId="15">
      <alignment horizontal="center" vertical="center"/>
    </xf>
    <xf numFmtId="166" fontId="14" fillId="3" borderId="12" applyAlignment="1" pivotButton="0" quotePrefix="0" xfId="15">
      <alignment horizontal="center" vertical="center"/>
    </xf>
    <xf numFmtId="9" fontId="14" fillId="3" borderId="12" applyAlignment="1" pivotButton="0" quotePrefix="0" xfId="19">
      <alignment horizontal="center" vertical="center"/>
    </xf>
    <xf numFmtId="164" fontId="14" fillId="3" borderId="13" applyAlignment="1" pivotButton="0" quotePrefix="0" xfId="17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15" fillId="0" borderId="14" applyAlignment="1" pivotButton="0" quotePrefix="0" xfId="0">
      <alignment horizontal="center" vertical="center" wrapText="1"/>
    </xf>
    <xf numFmtId="0" fontId="0" fillId="2" borderId="1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left" vertical="center" wrapText="1"/>
    </xf>
    <xf numFmtId="167" fontId="0" fillId="0" borderId="14" applyAlignment="1" pivotButton="0" quotePrefix="0" xfId="0">
      <alignment horizontal="center" vertical="center" wrapText="1"/>
    </xf>
    <xf numFmtId="9" fontId="0" fillId="0" borderId="14" applyAlignment="1" pivotButton="0" quotePrefix="0" xfId="30">
      <alignment horizontal="center" vertical="center"/>
    </xf>
    <xf numFmtId="164" fontId="0" fillId="2" borderId="14" applyAlignment="1" pivotButton="0" quotePrefix="0" xfId="17">
      <alignment horizontal="general" vertical="center"/>
    </xf>
    <xf numFmtId="167" fontId="0" fillId="2" borderId="0" applyAlignment="1" pivotButton="0" quotePrefix="0" xfId="0">
      <alignment horizontal="general" vertical="center"/>
    </xf>
    <xf numFmtId="0" fontId="0" fillId="2" borderId="15" applyAlignment="1" pivotButton="0" quotePrefix="0" xfId="0">
      <alignment horizontal="center" vertical="center"/>
    </xf>
    <xf numFmtId="0" fontId="16" fillId="0" borderId="15" applyAlignment="1" pivotButton="0" quotePrefix="0" xfId="0">
      <alignment horizontal="left" vertical="center" wrapText="1"/>
    </xf>
    <xf numFmtId="0" fontId="0" fillId="2" borderId="15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/>
    </xf>
    <xf numFmtId="0" fontId="0" fillId="0" borderId="15" applyAlignment="1" pivotButton="0" quotePrefix="0" xfId="0">
      <alignment horizontal="general" vertical="center"/>
    </xf>
    <xf numFmtId="167" fontId="0" fillId="0" borderId="15" applyAlignment="1" pivotButton="0" quotePrefix="0" xfId="0">
      <alignment horizontal="center" vertical="center" wrapText="1"/>
    </xf>
    <xf numFmtId="9" fontId="0" fillId="0" borderId="15" applyAlignment="1" pivotButton="0" quotePrefix="0" xfId="30">
      <alignment horizontal="center" vertical="center"/>
    </xf>
    <xf numFmtId="164" fontId="0" fillId="2" borderId="15" applyAlignment="1" pivotButton="0" quotePrefix="0" xfId="17">
      <alignment horizontal="general" vertical="center"/>
    </xf>
    <xf numFmtId="0" fontId="0" fillId="4" borderId="16" applyAlignment="1" pivotButton="0" quotePrefix="0" xfId="0">
      <alignment horizontal="right" vertical="center"/>
    </xf>
    <xf numFmtId="167" fontId="0" fillId="4" borderId="17" applyAlignment="1" pivotButton="0" quotePrefix="0" xfId="0">
      <alignment horizontal="right" vertical="center"/>
    </xf>
    <xf numFmtId="9" fontId="0" fillId="4" borderId="18" applyAlignment="1" pivotButton="0" quotePrefix="0" xfId="19">
      <alignment horizontal="right" vertical="center"/>
    </xf>
    <xf numFmtId="164" fontId="0" fillId="4" borderId="19" applyAlignment="1" pivotButton="0" quotePrefix="0" xfId="17">
      <alignment horizontal="general" vertical="center"/>
    </xf>
    <xf numFmtId="0" fontId="0" fillId="4" borderId="20" applyAlignment="1" pivotButton="0" quotePrefix="0" xfId="0">
      <alignment horizontal="right" vertical="center"/>
    </xf>
    <xf numFmtId="164" fontId="0" fillId="4" borderId="21" applyAlignment="1" pivotButton="0" quotePrefix="0" xfId="0">
      <alignment horizontal="right" vertical="center"/>
    </xf>
    <xf numFmtId="9" fontId="0" fillId="4" borderId="14" applyAlignment="1" pivotButton="0" quotePrefix="0" xfId="19">
      <alignment horizontal="right" vertical="center"/>
    </xf>
    <xf numFmtId="164" fontId="0" fillId="4" borderId="22" applyAlignment="1" pivotButton="0" quotePrefix="0" xfId="17">
      <alignment horizontal="general" vertical="center"/>
    </xf>
    <xf numFmtId="0" fontId="0" fillId="4" borderId="23" applyAlignment="1" pivotButton="0" quotePrefix="0" xfId="0">
      <alignment horizontal="right" vertical="center"/>
    </xf>
    <xf numFmtId="167" fontId="0" fillId="4" borderId="24" applyAlignment="1" pivotButton="0" quotePrefix="0" xfId="0">
      <alignment horizontal="right" vertical="center"/>
    </xf>
    <xf numFmtId="9" fontId="0" fillId="4" borderId="25" applyAlignment="1" pivotButton="0" quotePrefix="0" xfId="19">
      <alignment horizontal="right" vertical="center"/>
    </xf>
    <xf numFmtId="164" fontId="0" fillId="4" borderId="26" applyAlignment="1" pivotButton="0" quotePrefix="0" xfId="17">
      <alignment horizontal="general" vertical="center"/>
    </xf>
    <xf numFmtId="0" fontId="17" fillId="2" borderId="6" applyAlignment="1" pivotButton="0" quotePrefix="0" xfId="0">
      <alignment horizontal="general" vertical="center"/>
    </xf>
    <xf numFmtId="0" fontId="0" fillId="2" borderId="8" applyAlignment="1" pivotButton="0" quotePrefix="0" xfId="0">
      <alignment horizontal="left" vertical="center"/>
    </xf>
    <xf numFmtId="0" fontId="16" fillId="2" borderId="4" applyAlignment="1" pivotButton="0" quotePrefix="0" xfId="0">
      <alignment horizontal="general" vertical="center"/>
    </xf>
    <xf numFmtId="0" fontId="0" fillId="2" borderId="0" applyAlignment="1" pivotButton="0" quotePrefix="0" xfId="0">
      <alignment horizontal="left" vertical="center" wrapText="1"/>
    </xf>
    <xf numFmtId="0" fontId="0" fillId="2" borderId="0" applyAlignment="1" pivotButton="0" quotePrefix="0" xfId="0">
      <alignment horizontal="general" vertical="center" wrapText="1"/>
    </xf>
    <xf numFmtId="0" fontId="17" fillId="2" borderId="27" applyAlignment="1" pivotButton="0" quotePrefix="0" xfId="0">
      <alignment horizontal="general" vertical="center"/>
    </xf>
    <xf numFmtId="0" fontId="0" fillId="2" borderId="28" applyAlignment="1" pivotButton="0" quotePrefix="0" xfId="0">
      <alignment horizontal="left" vertical="center"/>
    </xf>
    <xf numFmtId="0" fontId="0" fillId="2" borderId="4" applyAlignment="1" pivotButton="0" quotePrefix="0" xfId="0">
      <alignment horizontal="general" vertical="center"/>
    </xf>
    <xf numFmtId="164" fontId="0" fillId="2" borderId="0" applyAlignment="1" pivotButton="0" quotePrefix="0" xfId="17">
      <alignment horizontal="center" vertical="center"/>
    </xf>
    <xf numFmtId="0" fontId="0" fillId="2" borderId="5" applyAlignment="1" pivotButton="0" quotePrefix="0" xfId="0">
      <alignment horizontal="general" vertical="center"/>
    </xf>
    <xf numFmtId="0" fontId="0" fillId="2" borderId="6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left" vertical="center"/>
    </xf>
    <xf numFmtId="0" fontId="0" fillId="2" borderId="0" applyAlignment="1" pivotButton="0" quotePrefix="0" xfId="0">
      <alignment horizontal="center" vertical="center"/>
    </xf>
    <xf numFmtId="9" fontId="0" fillId="2" borderId="0" applyAlignment="1" pivotButton="0" quotePrefix="0" xfId="19">
      <alignment horizontal="general" vertical="center"/>
    </xf>
    <xf numFmtId="164" fontId="0" fillId="2" borderId="0" applyAlignment="1" pivotButton="0" quotePrefix="0" xfId="17">
      <alignment horizontal="general" vertical="center"/>
    </xf>
    <xf numFmtId="0" fontId="0" fillId="0" borderId="0" pivotButton="0" quotePrefix="0" xfId="0"/>
    <xf numFmtId="0" fontId="12" fillId="2" borderId="1" applyAlignment="1" pivotButton="0" quotePrefix="0" xfId="0">
      <alignment horizontal="left" vertical="center"/>
    </xf>
    <xf numFmtId="0" fontId="0" fillId="2" borderId="2" applyAlignment="1" pivotButton="0" quotePrefix="0" xfId="0">
      <alignment horizontal="left" vertical="center"/>
    </xf>
    <xf numFmtId="0" fontId="0" fillId="2" borderId="2" applyAlignment="1" pivotButton="0" quotePrefix="0" xfId="0">
      <alignment horizontal="general" vertical="center"/>
    </xf>
    <xf numFmtId="0" fontId="0" fillId="2" borderId="2" applyAlignment="1" pivotButton="0" quotePrefix="0" xfId="0">
      <alignment horizontal="center" vertical="center"/>
    </xf>
    <xf numFmtId="9" fontId="0" fillId="2" borderId="2" applyAlignment="1" pivotButton="0" quotePrefix="0" xfId="19">
      <alignment horizontal="general" vertical="center"/>
    </xf>
    <xf numFmtId="164" fontId="0" fillId="2" borderId="3" applyAlignment="1" pivotButton="0" quotePrefix="0" xfId="17">
      <alignment horizontal="general" vertical="center"/>
    </xf>
    <xf numFmtId="0" fontId="0" fillId="2" borderId="4" applyAlignment="1" pivotButton="0" quotePrefix="0" xfId="0">
      <alignment horizontal="left" vertical="center"/>
    </xf>
    <xf numFmtId="164" fontId="0" fillId="2" borderId="5" applyAlignment="1" pivotButton="0" quotePrefix="0" xfId="17">
      <alignment horizontal="general" vertical="center"/>
    </xf>
    <xf numFmtId="0" fontId="13" fillId="2" borderId="6" applyAlignment="1" pivotButton="0" quotePrefix="0" xfId="20">
      <alignment horizontal="left" vertical="center"/>
    </xf>
    <xf numFmtId="0" fontId="13" fillId="2" borderId="7" applyAlignment="1" pivotButton="0" quotePrefix="0" xfId="20">
      <alignment horizontal="left" vertical="center"/>
    </xf>
    <xf numFmtId="0" fontId="13" fillId="2" borderId="7" applyAlignment="1" pivotButton="0" quotePrefix="0" xfId="20">
      <alignment horizontal="general" vertical="center"/>
    </xf>
    <xf numFmtId="0" fontId="0" fillId="2" borderId="7" applyAlignment="1" pivotButton="0" quotePrefix="0" xfId="0">
      <alignment horizontal="general" vertical="center"/>
    </xf>
    <xf numFmtId="0" fontId="0" fillId="2" borderId="7" applyAlignment="1" pivotButton="0" quotePrefix="0" xfId="0">
      <alignment horizontal="left" vertical="center"/>
    </xf>
    <xf numFmtId="0" fontId="0" fillId="2" borderId="7" applyAlignment="1" pivotButton="0" quotePrefix="0" xfId="0">
      <alignment horizontal="center" vertical="center"/>
    </xf>
    <xf numFmtId="9" fontId="0" fillId="2" borderId="7" applyAlignment="1" pivotButton="0" quotePrefix="0" xfId="19">
      <alignment horizontal="general" vertical="center"/>
    </xf>
    <xf numFmtId="164" fontId="0" fillId="2" borderId="8" applyAlignment="1" pivotButton="0" quotePrefix="0" xfId="17">
      <alignment horizontal="general" vertical="center"/>
    </xf>
    <xf numFmtId="0" fontId="0" fillId="2" borderId="1" applyAlignment="1" pivotButton="0" quotePrefix="0" xfId="0">
      <alignment horizontal="left" vertical="center"/>
    </xf>
    <xf numFmtId="165" fontId="0" fillId="2" borderId="2" applyAlignment="1" pivotButton="0" quotePrefix="0" xfId="0">
      <alignment horizontal="right" vertical="center"/>
    </xf>
    <xf numFmtId="165" fontId="0" fillId="2" borderId="2" applyAlignment="1" pivotButton="0" quotePrefix="0" xfId="0">
      <alignment horizontal="left" vertical="center"/>
    </xf>
    <xf numFmtId="165" fontId="0" fillId="2" borderId="2" applyAlignment="1" pivotButton="0" quotePrefix="0" xfId="0">
      <alignment horizontal="center" vertical="center"/>
    </xf>
    <xf numFmtId="9" fontId="0" fillId="2" borderId="2" applyAlignment="1" pivotButton="0" quotePrefix="0" xfId="19">
      <alignment horizontal="right" vertical="center"/>
    </xf>
    <xf numFmtId="164" fontId="0" fillId="2" borderId="3" applyAlignment="1" pivotButton="0" quotePrefix="0" xfId="17">
      <alignment horizontal="right" vertical="center"/>
    </xf>
    <xf numFmtId="165" fontId="0" fillId="2" borderId="0" applyAlignment="1" pivotButton="0" quotePrefix="0" xfId="0">
      <alignment horizontal="right" vertical="center"/>
    </xf>
    <xf numFmtId="165" fontId="0" fillId="2" borderId="0" applyAlignment="1" pivotButton="0" quotePrefix="0" xfId="0">
      <alignment horizontal="left" vertical="center"/>
    </xf>
    <xf numFmtId="165" fontId="0" fillId="2" borderId="0" applyAlignment="1" pivotButton="0" quotePrefix="0" xfId="0">
      <alignment horizontal="center" vertical="center"/>
    </xf>
    <xf numFmtId="9" fontId="0" fillId="2" borderId="0" applyAlignment="1" pivotButton="0" quotePrefix="0" xfId="19">
      <alignment horizontal="right" vertical="center"/>
    </xf>
    <xf numFmtId="164" fontId="0" fillId="2" borderId="5" applyAlignment="1" pivotButton="0" quotePrefix="0" xfId="17">
      <alignment horizontal="right" vertical="center"/>
    </xf>
    <xf numFmtId="0" fontId="0" fillId="2" borderId="0" applyAlignment="1" pivotButton="0" quotePrefix="0" xfId="21">
      <alignment horizontal="right" vertical="center"/>
    </xf>
    <xf numFmtId="0" fontId="0" fillId="2" borderId="4" applyAlignment="1" pivotButton="0" quotePrefix="0" xfId="0">
      <alignment horizontal="left" vertical="center" wrapText="1"/>
    </xf>
    <xf numFmtId="9" fontId="0" fillId="2" borderId="0" applyAlignment="1" pivotButton="0" quotePrefix="0" xfId="19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0" borderId="5" pivotButton="0" quotePrefix="0" xfId="0"/>
    <xf numFmtId="164" fontId="0" fillId="2" borderId="5" applyAlignment="1" pivotButton="0" quotePrefix="0" xfId="17">
      <alignment horizontal="center" vertical="center"/>
    </xf>
    <xf numFmtId="0" fontId="14" fillId="3" borderId="10" applyAlignment="1" pivotButton="0" quotePrefix="0" xfId="0">
      <alignment horizontal="center" vertical="center"/>
    </xf>
    <xf numFmtId="0" fontId="14" fillId="3" borderId="11" applyAlignment="1" pivotButton="0" quotePrefix="0" xfId="0">
      <alignment horizontal="center" vertical="center"/>
    </xf>
    <xf numFmtId="0" fontId="14" fillId="3" borderId="11" applyAlignment="1" pivotButton="0" quotePrefix="0" xfId="0">
      <alignment horizontal="left" vertical="center"/>
    </xf>
    <xf numFmtId="166" fontId="14" fillId="3" borderId="11" applyAlignment="1" pivotButton="0" quotePrefix="0" xfId="15">
      <alignment horizontal="center" vertical="center"/>
    </xf>
    <xf numFmtId="166" fontId="14" fillId="3" borderId="12" applyAlignment="1" pivotButton="0" quotePrefix="0" xfId="15">
      <alignment horizontal="center" vertical="center"/>
    </xf>
    <xf numFmtId="9" fontId="14" fillId="3" borderId="12" applyAlignment="1" pivotButton="0" quotePrefix="0" xfId="19">
      <alignment horizontal="center" vertical="center"/>
    </xf>
    <xf numFmtId="164" fontId="14" fillId="3" borderId="13" applyAlignment="1" pivotButton="0" quotePrefix="0" xfId="17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15" fillId="0" borderId="14" applyAlignment="1" pivotButton="0" quotePrefix="0" xfId="0">
      <alignment horizontal="center" vertical="center" wrapText="1"/>
    </xf>
    <xf numFmtId="0" fontId="0" fillId="2" borderId="1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left" vertical="center" wrapText="1"/>
    </xf>
    <xf numFmtId="167" fontId="0" fillId="0" borderId="14" applyAlignment="1" pivotButton="0" quotePrefix="0" xfId="0">
      <alignment horizontal="center" vertical="center" wrapText="1"/>
    </xf>
    <xf numFmtId="9" fontId="0" fillId="0" borderId="14" applyAlignment="1" pivotButton="0" quotePrefix="0" xfId="30">
      <alignment horizontal="center" vertical="center"/>
    </xf>
    <xf numFmtId="164" fontId="0" fillId="2" borderId="14" applyAlignment="1" pivotButton="0" quotePrefix="0" xfId="17">
      <alignment horizontal="general" vertical="center"/>
    </xf>
    <xf numFmtId="167" fontId="0" fillId="2" borderId="0" applyAlignment="1" pivotButton="0" quotePrefix="0" xfId="0">
      <alignment horizontal="general" vertical="center"/>
    </xf>
    <xf numFmtId="0" fontId="0" fillId="2" borderId="15" applyAlignment="1" pivotButton="0" quotePrefix="0" xfId="0">
      <alignment horizontal="center" vertical="center"/>
    </xf>
    <xf numFmtId="0" fontId="16" fillId="0" borderId="15" applyAlignment="1" pivotButton="0" quotePrefix="0" xfId="0">
      <alignment horizontal="left" vertical="center" wrapText="1"/>
    </xf>
    <xf numFmtId="0" fontId="0" fillId="2" borderId="15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/>
    </xf>
    <xf numFmtId="0" fontId="0" fillId="0" borderId="15" applyAlignment="1" pivotButton="0" quotePrefix="0" xfId="0">
      <alignment horizontal="general" vertical="center"/>
    </xf>
    <xf numFmtId="167" fontId="0" fillId="0" borderId="15" applyAlignment="1" pivotButton="0" quotePrefix="0" xfId="0">
      <alignment horizontal="center" vertical="center" wrapText="1"/>
    </xf>
    <xf numFmtId="9" fontId="0" fillId="0" borderId="15" applyAlignment="1" pivotButton="0" quotePrefix="0" xfId="30">
      <alignment horizontal="center" vertical="center"/>
    </xf>
    <xf numFmtId="164" fontId="0" fillId="2" borderId="15" applyAlignment="1" pivotButton="0" quotePrefix="0" xfId="17">
      <alignment horizontal="general" vertical="center"/>
    </xf>
    <xf numFmtId="0" fontId="0" fillId="4" borderId="16" applyAlignment="1" pivotButton="0" quotePrefix="0" xfId="0">
      <alignment horizontal="right" vertical="center"/>
    </xf>
    <xf numFmtId="0" fontId="0" fillId="0" borderId="30" pivotButton="0" quotePrefix="0" xfId="0"/>
    <xf numFmtId="0" fontId="0" fillId="0" borderId="17" pivotButton="0" quotePrefix="0" xfId="0"/>
    <xf numFmtId="167" fontId="0" fillId="4" borderId="17" applyAlignment="1" pivotButton="0" quotePrefix="0" xfId="0">
      <alignment horizontal="right" vertical="center"/>
    </xf>
    <xf numFmtId="9" fontId="0" fillId="4" borderId="18" applyAlignment="1" pivotButton="0" quotePrefix="0" xfId="19">
      <alignment horizontal="right" vertical="center"/>
    </xf>
    <xf numFmtId="164" fontId="0" fillId="4" borderId="19" applyAlignment="1" pivotButton="0" quotePrefix="0" xfId="17">
      <alignment horizontal="general" vertical="center"/>
    </xf>
    <xf numFmtId="0" fontId="0" fillId="4" borderId="20" applyAlignment="1" pivotButton="0" quotePrefix="0" xfId="0">
      <alignment horizontal="right" vertical="center"/>
    </xf>
    <xf numFmtId="0" fontId="0" fillId="0" borderId="33" pivotButton="0" quotePrefix="0" xfId="0"/>
    <xf numFmtId="0" fontId="0" fillId="0" borderId="21" pivotButton="0" quotePrefix="0" xfId="0"/>
    <xf numFmtId="164" fontId="0" fillId="4" borderId="21" applyAlignment="1" pivotButton="0" quotePrefix="0" xfId="0">
      <alignment horizontal="right" vertical="center"/>
    </xf>
    <xf numFmtId="9" fontId="0" fillId="4" borderId="14" applyAlignment="1" pivotButton="0" quotePrefix="0" xfId="19">
      <alignment horizontal="right" vertical="center"/>
    </xf>
    <xf numFmtId="164" fontId="0" fillId="4" borderId="22" applyAlignment="1" pivotButton="0" quotePrefix="0" xfId="17">
      <alignment horizontal="general" vertical="center"/>
    </xf>
    <xf numFmtId="0" fontId="0" fillId="4" borderId="23" applyAlignment="1" pivotButton="0" quotePrefix="0" xfId="0">
      <alignment horizontal="right" vertical="center"/>
    </xf>
    <xf numFmtId="0" fontId="0" fillId="0" borderId="34" pivotButton="0" quotePrefix="0" xfId="0"/>
    <xf numFmtId="0" fontId="0" fillId="0" borderId="24" pivotButton="0" quotePrefix="0" xfId="0"/>
    <xf numFmtId="167" fontId="0" fillId="4" borderId="24" applyAlignment="1" pivotButton="0" quotePrefix="0" xfId="0">
      <alignment horizontal="right" vertical="center"/>
    </xf>
    <xf numFmtId="9" fontId="0" fillId="4" borderId="25" applyAlignment="1" pivotButton="0" quotePrefix="0" xfId="19">
      <alignment horizontal="right" vertical="center"/>
    </xf>
    <xf numFmtId="164" fontId="0" fillId="4" borderId="26" applyAlignment="1" pivotButton="0" quotePrefix="0" xfId="17">
      <alignment horizontal="general" vertical="center"/>
    </xf>
    <xf numFmtId="0" fontId="17" fillId="2" borderId="6" applyAlignment="1" pivotButton="0" quotePrefix="0" xfId="0">
      <alignment horizontal="general" vertical="center"/>
    </xf>
    <xf numFmtId="0" fontId="0" fillId="2" borderId="8" applyAlignment="1" pivotButton="0" quotePrefix="0" xfId="0">
      <alignment horizontal="left" vertical="center"/>
    </xf>
    <xf numFmtId="0" fontId="16" fillId="2" borderId="4" applyAlignment="1" pivotButton="0" quotePrefix="0" xfId="0">
      <alignment horizontal="general" vertical="center"/>
    </xf>
    <xf numFmtId="0" fontId="0" fillId="2" borderId="0" applyAlignment="1" pivotButton="0" quotePrefix="0" xfId="0">
      <alignment horizontal="left" vertical="center" wrapText="1"/>
    </xf>
    <xf numFmtId="0" fontId="0" fillId="2" borderId="0" applyAlignment="1" pivotButton="0" quotePrefix="0" xfId="0">
      <alignment horizontal="general" vertical="center" wrapText="1"/>
    </xf>
    <xf numFmtId="0" fontId="17" fillId="2" borderId="27" applyAlignment="1" pivotButton="0" quotePrefix="0" xfId="0">
      <alignment horizontal="general" vertical="center"/>
    </xf>
    <xf numFmtId="0" fontId="0" fillId="2" borderId="28" applyAlignment="1" pivotButton="0" quotePrefix="0" xfId="0">
      <alignment horizontal="left" vertical="center"/>
    </xf>
    <xf numFmtId="0" fontId="0" fillId="2" borderId="4" applyAlignment="1" pivotButton="0" quotePrefix="0" xfId="0">
      <alignment horizontal="general" vertical="center"/>
    </xf>
    <xf numFmtId="164" fontId="0" fillId="2" borderId="0" applyAlignment="1" pivotButton="0" quotePrefix="0" xfId="17">
      <alignment horizontal="center" vertical="center"/>
    </xf>
    <xf numFmtId="0" fontId="0" fillId="2" borderId="5" applyAlignment="1" pivotButton="0" quotePrefix="0" xfId="0">
      <alignment horizontal="general" vertical="center"/>
    </xf>
    <xf numFmtId="0" fontId="0" fillId="2" borderId="6" applyAlignment="1" pivotButton="0" quotePrefix="0" xfId="0">
      <alignment horizontal="general" vertical="center"/>
    </xf>
  </cellXfs>
  <cellStyles count="1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Normal 10 5" xfId="7"/>
    <cellStyle name="Normal 11" xfId="8"/>
    <cellStyle name="Normal 2" xfId="9"/>
    <cellStyle name="Normal 2 2" xfId="10"/>
    <cellStyle name="Normal 2 2 2" xfId="11"/>
    <cellStyle name="Normal 2 2 3" xfId="12"/>
    <cellStyle name="Normal 2 4 3" xfId="13"/>
    <cellStyle name="Normal 2 5" xfId="14"/>
    <cellStyle name="Normal 2 7" xfId="15"/>
    <cellStyle name="Normal 8" xfId="16"/>
    <cellStyle name="常规 2_不锈钢 2" xfId="17"/>
    <cellStyle name="常规_buffet tables-0617-QUOTE (100526)ys" xfId="18"/>
  </cellStyles>
  <dxfs count="3">
    <dxf>
      <font>
        <name val="Calibri"/>
        <family val="2"/>
        <color rgb="FF800080"/>
        <sz val="11"/>
      </font>
      <fill>
        <patternFill>
          <bgColor rgb="FFFF99CC"/>
        </patternFill>
      </fill>
    </dxf>
    <dxf>
      <font>
        <name val="Calibri"/>
        <family val="2"/>
        <color rgb="FF800080"/>
        <sz val="11"/>
      </font>
      <fill>
        <patternFill>
          <bgColor rgb="FFFF99CC"/>
        </patternFill>
      </fill>
    </dxf>
    <dxf>
      <font>
        <name val="Calibri"/>
        <family val="2"/>
        <color rgb="FF800080"/>
        <sz val="11"/>
      </font>
      <fill>
        <patternFill>
          <bgColor rgb="FFFF99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10</col>
      <colOff>537120</colOff>
      <row>1</row>
      <rowOff>0</rowOff>
    </from>
    <to>
      <col>12</col>
      <colOff>504720</colOff>
      <row>5</row>
      <rowOff>114840</rowOff>
    </to>
    <pic>
      <nvPicPr>
        <cNvPr id="0" name="Picture 54" descr="MELANGE LOGO"/>
        <cNvPicPr/>
      </nvPicPr>
      <blipFill>
        <a:blip r:embed="rId1"/>
        <a:stretch>
          <a:fillRect/>
        </a:stretch>
      </blipFill>
      <spPr>
        <a:xfrm>
          <a:off x="19333080" y="178920"/>
          <a:ext cx="2241000" cy="831240"/>
        </a:xfrm>
        <a:prstGeom prst="rect">
          <avLst/>
        </a:prstGeom>
        <a:ln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N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21.13671875" defaultRowHeight="15" zeroHeight="0" outlineLevelRow="0"/>
  <cols>
    <col width="6.85" customWidth="1" style="91" min="1" max="1"/>
    <col width="28.99" customWidth="1" style="92" min="2" max="2"/>
    <col width="7.14" customWidth="1" style="91" min="3" max="3"/>
    <col width="20.85" customWidth="1" style="91" min="4" max="4"/>
    <col width="15.42" customWidth="1" style="91" min="5" max="5"/>
    <col width="15.85" customWidth="1" style="91" min="6" max="6"/>
    <col width="42.42" customWidth="1" style="91" min="7" max="7"/>
    <col width="65.98999999999999" customWidth="1" style="92" min="8" max="8"/>
    <col width="10.7" customWidth="1" style="93" min="9" max="9"/>
    <col width="20.71" customWidth="1" style="91" min="10" max="11"/>
    <col width="7.71" customWidth="1" style="94" min="12" max="12"/>
    <col width="20.71" customWidth="1" style="95" min="13" max="13"/>
    <col width="21.13" customWidth="1" style="91" min="14" max="257"/>
  </cols>
  <sheetData>
    <row r="1" ht="14.1" customHeight="1" s="96">
      <c r="A1" s="97" t="inlineStr">
        <is>
          <t>SHANTI METAL INDUSTRIES.</t>
        </is>
      </c>
      <c r="B1" s="98" t="n"/>
      <c r="C1" s="99" t="n"/>
      <c r="D1" s="99" t="n"/>
      <c r="E1" s="99" t="n"/>
      <c r="F1" s="99" t="n"/>
      <c r="G1" s="99" t="n"/>
      <c r="H1" s="98" t="n"/>
      <c r="I1" s="100" t="n"/>
      <c r="J1" s="99" t="n"/>
      <c r="K1" s="99" t="n"/>
      <c r="L1" s="101" t="n"/>
      <c r="M1" s="102" t="n"/>
    </row>
    <row r="2" ht="14.1" customHeight="1" s="96">
      <c r="A2" s="103" t="inlineStr">
        <is>
          <t xml:space="preserve">#51, RAJA HARIHARAN TOWER, </t>
        </is>
      </c>
      <c r="B2" s="92" t="n"/>
      <c r="C2" s="91" t="n"/>
      <c r="D2" s="91" t="n"/>
      <c r="E2" s="91" t="n"/>
      <c r="F2" s="91" t="n"/>
      <c r="G2" s="91" t="n"/>
      <c r="H2" s="92" t="n"/>
      <c r="I2" s="93" t="n"/>
      <c r="J2" s="91" t="n"/>
      <c r="K2" s="91" t="n"/>
      <c r="M2" s="104" t="n"/>
    </row>
    <row r="3" ht="14.1" customHeight="1" s="96">
      <c r="A3" s="103" t="inlineStr">
        <is>
          <t xml:space="preserve">1ST FLOOR, SAJJAN RAO ROAD, </t>
        </is>
      </c>
      <c r="B3" s="92" t="n"/>
      <c r="C3" s="91" t="n"/>
      <c r="D3" s="91" t="n"/>
      <c r="E3" s="91" t="n"/>
      <c r="F3" s="91" t="n"/>
      <c r="G3" s="91" t="n"/>
      <c r="H3" s="92" t="n"/>
      <c r="I3" s="93" t="n"/>
      <c r="J3" s="91" t="n"/>
      <c r="K3" s="91" t="n"/>
      <c r="M3" s="104" t="n"/>
    </row>
    <row r="4" ht="14.1" customHeight="1" s="96">
      <c r="A4" s="103" t="inlineStr">
        <is>
          <t>NEAR BASAPPA CIRCLE, VV PURAM,</t>
        </is>
      </c>
      <c r="B4" s="92" t="n"/>
      <c r="C4" s="91" t="n"/>
      <c r="D4" s="91" t="n"/>
      <c r="E4" s="91" t="n"/>
      <c r="F4" s="91" t="n"/>
      <c r="G4" s="91" t="n"/>
      <c r="H4" s="92" t="n"/>
      <c r="I4" s="93" t="n"/>
      <c r="J4" s="91" t="n"/>
      <c r="K4" s="91" t="n"/>
      <c r="M4" s="104" t="n"/>
    </row>
    <row r="5" ht="14.1" customHeight="1" s="96">
      <c r="A5" s="103" t="inlineStr">
        <is>
          <t>BANGALORE-560026.</t>
        </is>
      </c>
      <c r="B5" s="92" t="n"/>
      <c r="C5" s="91" t="n"/>
      <c r="D5" s="91" t="n"/>
      <c r="E5" s="91" t="n"/>
      <c r="F5" s="91" t="n"/>
      <c r="G5" s="91" t="n"/>
      <c r="H5" s="92" t="n"/>
      <c r="I5" s="93" t="n"/>
      <c r="J5" s="91" t="n"/>
      <c r="K5" s="91" t="n"/>
      <c r="M5" s="104" t="n"/>
    </row>
    <row r="6" ht="14.1" customHeight="1" s="96">
      <c r="A6" s="103" t="inlineStr">
        <is>
          <t>TEL-080 22975431</t>
        </is>
      </c>
      <c r="B6" s="92" t="n"/>
      <c r="C6" s="91" t="n"/>
      <c r="D6" s="91" t="n"/>
      <c r="E6" s="91" t="n"/>
      <c r="F6" s="91" t="n"/>
      <c r="G6" s="91" t="n"/>
      <c r="H6" s="92" t="n"/>
      <c r="I6" s="93" t="n"/>
      <c r="J6" s="91" t="n"/>
      <c r="K6" s="91" t="n"/>
      <c r="M6" s="104" t="n"/>
    </row>
    <row r="7" ht="14.1" customHeight="1" s="96">
      <c r="A7" s="103" t="inlineStr">
        <is>
          <t>GSTIN: 29ADJFS2382K1ZH</t>
        </is>
      </c>
      <c r="B7" s="92" t="n"/>
      <c r="C7" s="91" t="n"/>
      <c r="D7" s="91" t="n"/>
      <c r="E7" s="91" t="n"/>
      <c r="F7" s="91" t="n"/>
      <c r="G7" s="91" t="n"/>
      <c r="H7" s="92" t="n"/>
      <c r="I7" s="93" t="n"/>
      <c r="J7" s="91" t="n"/>
      <c r="K7" s="91" t="n"/>
      <c r="M7" s="104" t="n"/>
    </row>
    <row r="8" ht="14.1" customHeight="1" s="96">
      <c r="A8" s="105" t="inlineStr">
        <is>
          <t>WWW.MELANGEINDIA.IN</t>
        </is>
      </c>
      <c r="B8" s="106" t="n"/>
      <c r="C8" s="107" t="n"/>
      <c r="D8" s="107" t="n"/>
      <c r="E8" s="107" t="n"/>
      <c r="F8" s="107" t="n"/>
      <c r="G8" s="108" t="n"/>
      <c r="H8" s="109" t="n"/>
      <c r="I8" s="110" t="n"/>
      <c r="J8" s="108" t="n"/>
      <c r="K8" s="108" t="n"/>
      <c r="L8" s="111" t="n"/>
      <c r="M8" s="112" t="n"/>
    </row>
    <row r="9" ht="14.1" customHeight="1" s="96">
      <c r="A9" s="113" t="inlineStr">
        <is>
          <t>BILL &amp; SHIP TO</t>
        </is>
      </c>
      <c r="B9" s="98" t="n"/>
      <c r="C9" s="99" t="n"/>
      <c r="D9" s="99" t="n"/>
      <c r="E9" s="99" t="n"/>
      <c r="F9" s="99" t="n"/>
      <c r="G9" s="114" t="n"/>
      <c r="H9" s="115" t="n"/>
      <c r="I9" s="116" t="n"/>
      <c r="J9" s="114" t="n"/>
      <c r="K9" s="114" t="n"/>
      <c r="L9" s="117" t="inlineStr">
        <is>
          <t>DATE : 23.07.2026</t>
        </is>
      </c>
      <c r="M9" s="118" t="n"/>
    </row>
    <row r="10" ht="14.1" customHeight="1" s="96">
      <c r="A10" s="103" t="n"/>
      <c r="B10" s="92" t="n"/>
      <c r="C10" s="91" t="n"/>
      <c r="D10" s="91" t="n"/>
      <c r="E10" s="91" t="n"/>
      <c r="F10" s="91" t="n"/>
      <c r="G10" s="119" t="n"/>
      <c r="H10" s="120" t="n"/>
      <c r="I10" s="121" t="n"/>
      <c r="J10" s="119" t="n"/>
      <c r="K10" s="119" t="n"/>
      <c r="L10" s="122" t="n"/>
      <c r="M10" s="123" t="n"/>
    </row>
    <row r="11" ht="14.1" customHeight="1" s="96">
      <c r="A11" s="103" t="n"/>
      <c r="B11" s="92" t="n"/>
      <c r="C11" s="91" t="n"/>
      <c r="D11" s="91" t="n"/>
      <c r="E11" s="91" t="n"/>
      <c r="F11" s="91" t="n"/>
      <c r="G11" s="119" t="n"/>
      <c r="H11" s="120" t="n"/>
      <c r="I11" s="121" t="n"/>
      <c r="J11" s="124" t="inlineStr">
        <is>
          <t>SALES CONCERN PERSON :MR ABHISHEK JAIN</t>
        </is>
      </c>
      <c r="K11" s="119" t="n"/>
      <c r="L11" s="122" t="n"/>
      <c r="M11" s="123" t="n"/>
    </row>
    <row r="12" ht="14.1" customHeight="1" s="96">
      <c r="A12" s="103" t="n"/>
      <c r="B12" s="92" t="n"/>
      <c r="C12" s="91" t="n"/>
      <c r="D12" s="91" t="n"/>
      <c r="E12" s="91" t="n"/>
      <c r="F12" s="91" t="n"/>
      <c r="G12" s="119" t="n"/>
      <c r="H12" s="120" t="n"/>
      <c r="I12" s="121" t="n"/>
      <c r="J12" s="124" t="inlineStr">
        <is>
          <t>CONTACT N0: 9901708514</t>
        </is>
      </c>
      <c r="K12" s="119" t="n"/>
      <c r="L12" s="122" t="n"/>
      <c r="M12" s="123" t="n"/>
    </row>
    <row r="13" ht="14.1" customHeight="1" s="96">
      <c r="A13" s="103" t="n"/>
      <c r="B13" s="92" t="n"/>
      <c r="C13" s="91" t="n"/>
      <c r="D13" s="91" t="n"/>
      <c r="E13" s="91" t="n"/>
      <c r="F13" s="91" t="n"/>
      <c r="G13" s="119" t="n"/>
      <c r="H13" s="120" t="n"/>
      <c r="I13" s="121" t="n"/>
      <c r="J13" s="124" t="inlineStr">
        <is>
          <t>MAIL ID: abhishek@melangeindia.in</t>
        </is>
      </c>
      <c r="K13" s="119" t="n"/>
      <c r="L13" s="122" t="n"/>
      <c r="M13" s="123" t="n"/>
    </row>
    <row r="14" ht="14.1" customHeight="1" s="96">
      <c r="A14" s="125" t="n"/>
      <c r="B14" s="92" t="n"/>
      <c r="C14" s="91" t="n"/>
      <c r="D14" s="91" t="n"/>
      <c r="E14" s="91" t="n"/>
      <c r="F14" s="91" t="n"/>
      <c r="G14" s="91" t="n"/>
      <c r="H14" s="92" t="n"/>
      <c r="I14" s="93" t="n"/>
      <c r="J14" s="91" t="n"/>
      <c r="K14" s="91" t="n"/>
      <c r="L14" s="126" t="n"/>
      <c r="M14" s="104" t="n"/>
    </row>
    <row r="15" ht="14.1" customHeight="1" s="96">
      <c r="A15" s="103" t="n"/>
      <c r="B15" s="92" t="n"/>
      <c r="C15" s="91" t="n"/>
      <c r="D15" s="91" t="n"/>
      <c r="E15" s="91" t="n"/>
      <c r="F15" s="91" t="n"/>
      <c r="G15" s="91" t="n"/>
      <c r="H15" s="92" t="n"/>
      <c r="I15" s="93" t="n"/>
      <c r="J15" s="91" t="n"/>
      <c r="K15" s="91" t="n"/>
      <c r="M15" s="104" t="n"/>
    </row>
    <row r="16" ht="14.1" customHeight="1" s="96">
      <c r="A16" s="127" t="inlineStr">
        <is>
          <t>SUB:  QUOTATION</t>
        </is>
      </c>
      <c r="M16" s="128" t="n"/>
    </row>
    <row r="17" ht="14.1" customHeight="1" s="96">
      <c r="A17" s="127" t="inlineStr">
        <is>
          <t xml:space="preserve">REF NO: </t>
        </is>
      </c>
      <c r="M17" s="128" t="n"/>
    </row>
    <row r="18" ht="14.1" customHeight="1" s="96">
      <c r="A18" s="103" t="inlineStr">
        <is>
          <t>Dear Sir</t>
        </is>
      </c>
      <c r="B18" s="92" t="n"/>
      <c r="C18" s="93" t="n"/>
      <c r="D18" s="93" t="n"/>
      <c r="E18" s="93" t="n"/>
      <c r="F18" s="93" t="n"/>
      <c r="G18" s="93" t="n"/>
      <c r="H18" s="92" t="n"/>
      <c r="I18" s="93" t="n"/>
      <c r="J18" s="93" t="n"/>
      <c r="K18" s="93" t="n"/>
      <c r="L18" s="126" t="n"/>
      <c r="M18" s="129" t="n"/>
    </row>
    <row r="19" ht="14.1" customHeight="1" s="96">
      <c r="A19" s="127" t="inlineStr">
        <is>
          <t>WE ARE PLEASED TO OFFER OUR BEST QUOTE AS BELOW.</t>
        </is>
      </c>
      <c r="M19" s="128" t="n"/>
    </row>
    <row r="20" ht="20.1" customHeight="1" s="96">
      <c r="A20" s="130" t="inlineStr">
        <is>
          <t>SL.NO</t>
        </is>
      </c>
      <c r="B20" s="131" t="inlineStr">
        <is>
          <t>PRODUCT</t>
        </is>
      </c>
      <c r="C20" s="131" t="inlineStr">
        <is>
          <t>QTY</t>
        </is>
      </c>
      <c r="D20" s="131" t="inlineStr">
        <is>
          <t xml:space="preserve">DESCRIPTION </t>
        </is>
      </c>
      <c r="E20" s="131" t="inlineStr">
        <is>
          <t xml:space="preserve">MODEL NO </t>
        </is>
      </c>
      <c r="F20" s="131" t="inlineStr">
        <is>
          <t xml:space="preserve">BRAND </t>
        </is>
      </c>
      <c r="G20" s="131" t="inlineStr">
        <is>
          <t>IMAGE</t>
        </is>
      </c>
      <c r="H20" s="132" t="inlineStr">
        <is>
          <t>SPECIFICATION</t>
        </is>
      </c>
      <c r="I20" s="131" t="inlineStr">
        <is>
          <t>HSN CODE</t>
        </is>
      </c>
      <c r="J20" s="133" t="inlineStr">
        <is>
          <t>PRICE/PC</t>
        </is>
      </c>
      <c r="K20" s="134" t="inlineStr">
        <is>
          <t xml:space="preserve">AMOUNT </t>
        </is>
      </c>
      <c r="L20" s="135" t="inlineStr">
        <is>
          <t xml:space="preserve">GST </t>
        </is>
      </c>
      <c r="M20" s="136" t="inlineStr">
        <is>
          <t xml:space="preserve">GST AMOUNT </t>
        </is>
      </c>
    </row>
    <row r="21" ht="140.25" customHeight="1" s="96">
      <c r="A21" s="137" t="n">
        <v>1</v>
      </c>
      <c r="B21" s="138" t="inlineStr">
        <is>
          <t xml:space="preserve">LUGGAGE TROLLEY </t>
        </is>
      </c>
      <c r="C21" s="139" t="n">
        <v>1</v>
      </c>
      <c r="D21" s="140" t="inlineStr">
        <is>
          <t>WALTHR-TR-FO004-BELLMAN TROLLEY</t>
        </is>
      </c>
      <c r="E21" s="141" t="inlineStr">
        <is>
          <t>TR-FO004</t>
        </is>
      </c>
      <c r="F21" s="142" t="inlineStr">
        <is>
          <t>WALTHR</t>
        </is>
      </c>
      <c r="G21" s="140" t="n"/>
      <c r="H21" s="143" t="inlineStr">
        <is>
          <t>LUGGAGE TROLLEY
    201# STAINLESS STEEL        1050*610*1860MM
PP WHEEL: 6”
PIPE DIA: 38 MM</t>
        </is>
      </c>
      <c r="I21" s="140" t="n">
        <v>73269099</v>
      </c>
      <c r="J21" s="144" t="n">
        <v>29500</v>
      </c>
      <c r="K21" s="144">
        <f>J21*C21</f>
        <v/>
      </c>
      <c r="L21" s="145" t="n">
        <v>0.18</v>
      </c>
      <c r="M21" s="146">
        <f>L21*K21</f>
        <v/>
      </c>
      <c r="N21" s="147" t="n"/>
    </row>
    <row r="22" ht="30.75" customHeight="1" s="96">
      <c r="A22" s="148" t="n">
        <v>2</v>
      </c>
      <c r="B22" s="149" t="inlineStr">
        <is>
          <t>PACKING, FORWARDING &amp; FREIGHT CHARGES</t>
        </is>
      </c>
      <c r="C22" s="150" t="n">
        <v>1</v>
      </c>
      <c r="D22" s="151" t="n"/>
      <c r="E22" s="152" t="n"/>
      <c r="F22" s="152" t="n"/>
      <c r="G22" s="153" t="n"/>
      <c r="H22" s="149" t="inlineStr">
        <is>
          <t>PACKING, FORWARDING &amp; FREIGHT CHARGES</t>
        </is>
      </c>
      <c r="I22" s="151" t="n"/>
      <c r="J22" s="154" t="n">
        <v>3000</v>
      </c>
      <c r="K22" s="154">
        <f>J22*C22</f>
        <v/>
      </c>
      <c r="L22" s="155" t="n">
        <v>0.18</v>
      </c>
      <c r="M22" s="156">
        <f>L22*K22</f>
        <v/>
      </c>
      <c r="N22" s="147" t="n"/>
    </row>
    <row r="23" ht="20.1" customHeight="1" s="96">
      <c r="A23" s="157" t="inlineStr">
        <is>
          <t xml:space="preserve">TOTAL </t>
        </is>
      </c>
      <c r="B23" s="158" t="n"/>
      <c r="C23" s="158" t="n"/>
      <c r="D23" s="158" t="n"/>
      <c r="E23" s="158" t="n"/>
      <c r="F23" s="158" t="n"/>
      <c r="G23" s="158" t="n"/>
      <c r="H23" s="158" t="n"/>
      <c r="I23" s="158" t="n"/>
      <c r="J23" s="159" t="n"/>
      <c r="K23" s="160">
        <f>SUM(K21:K22)</f>
        <v/>
      </c>
      <c r="L23" s="161" t="n"/>
      <c r="M23" s="162">
        <f>SUM(M21:M22)</f>
        <v/>
      </c>
    </row>
    <row r="24" ht="20.1" customHeight="1" s="96">
      <c r="A24" s="163" t="inlineStr">
        <is>
          <t xml:space="preserve">GST VALUE </t>
        </is>
      </c>
      <c r="B24" s="164" t="n"/>
      <c r="C24" s="164" t="n"/>
      <c r="D24" s="164" t="n"/>
      <c r="E24" s="164" t="n"/>
      <c r="F24" s="164" t="n"/>
      <c r="G24" s="164" t="n"/>
      <c r="H24" s="164" t="n"/>
      <c r="I24" s="164" t="n"/>
      <c r="J24" s="165" t="n"/>
      <c r="K24" s="166">
        <f>M23</f>
        <v/>
      </c>
      <c r="L24" s="167" t="n"/>
      <c r="M24" s="168" t="n"/>
    </row>
    <row r="25" ht="20.1" customHeight="1" s="96">
      <c r="A25" s="169" t="inlineStr">
        <is>
          <t xml:space="preserve">GRAND TOTAL </t>
        </is>
      </c>
      <c r="B25" s="170" t="n"/>
      <c r="C25" s="170" t="n"/>
      <c r="D25" s="170" t="n"/>
      <c r="E25" s="170" t="n"/>
      <c r="F25" s="170" t="n"/>
      <c r="G25" s="170" t="n"/>
      <c r="H25" s="170" t="n"/>
      <c r="I25" s="170" t="n"/>
      <c r="J25" s="171" t="n"/>
      <c r="K25" s="172">
        <f>K23+K24</f>
        <v/>
      </c>
      <c r="L25" s="173" t="n"/>
      <c r="M25" s="174" t="n"/>
    </row>
    <row r="26" ht="14.1" customHeight="1" s="96">
      <c r="A26" s="175" t="inlineStr">
        <is>
          <t>TERMS &amp; CONDITIONS:</t>
        </is>
      </c>
      <c r="B26" s="176" t="n"/>
      <c r="C26" s="91" t="n"/>
      <c r="D26" s="91" t="n"/>
      <c r="E26" s="91" t="n"/>
      <c r="F26" s="91" t="n"/>
      <c r="G26" s="93" t="n"/>
      <c r="H26" s="92" t="n"/>
      <c r="I26" s="93" t="n"/>
      <c r="J26" s="91" t="n"/>
      <c r="K26" s="91" t="n"/>
      <c r="M26" s="104" t="n"/>
    </row>
    <row r="27" ht="14.25" customHeight="1" s="96">
      <c r="A27" s="177" t="inlineStr">
        <is>
          <t>1.THE ABOVE GRAND TOTAL INCUSIVE OF THE GST.</t>
        </is>
      </c>
      <c r="B27" s="178" t="n"/>
      <c r="C27" s="179" t="n"/>
      <c r="D27" s="179" t="n"/>
      <c r="E27" s="179" t="n"/>
      <c r="F27" s="179" t="n"/>
      <c r="G27" s="93" t="n"/>
      <c r="H27" s="92" t="n"/>
      <c r="I27" s="93" t="n"/>
      <c r="J27" s="91" t="n"/>
      <c r="K27" s="91" t="n"/>
      <c r="M27" s="104" t="n"/>
    </row>
    <row r="28" ht="14.1" customHeight="1" s="96">
      <c r="A28" s="177" t="inlineStr">
        <is>
          <t>2. DELIVERY SCHEDULE: 4-6 WEEKS  FROM THE DATE OF P.O AND 100% ADVANCE</t>
        </is>
      </c>
      <c r="B28" s="178" t="n"/>
      <c r="C28" s="179" t="n"/>
      <c r="D28" s="179" t="n"/>
      <c r="E28" s="179" t="n"/>
      <c r="F28" s="179" t="n"/>
      <c r="G28" s="93" t="n"/>
      <c r="H28" s="92" t="n"/>
      <c r="I28" s="93" t="n"/>
      <c r="J28" s="91" t="n"/>
      <c r="K28" s="91" t="n"/>
      <c r="M28" s="104" t="n"/>
    </row>
    <row r="29" ht="14.1" customHeight="1" s="96">
      <c r="A29" s="177" t="inlineStr">
        <is>
          <t xml:space="preserve">3. PAYMENT TERMS: 100% ADVANCE </t>
        </is>
      </c>
      <c r="B29" s="178" t="n"/>
      <c r="C29" s="179" t="n"/>
      <c r="D29" s="179" t="n"/>
      <c r="E29" s="179" t="n"/>
      <c r="F29" s="179" t="n"/>
      <c r="G29" s="93" t="n"/>
      <c r="H29" s="92" t="n"/>
      <c r="I29" s="93" t="n"/>
      <c r="J29" s="91" t="n"/>
      <c r="K29" s="91" t="n"/>
      <c r="M29" s="104" t="n"/>
    </row>
    <row r="30" ht="14.1" customHeight="1" s="96">
      <c r="A30" s="177" t="inlineStr">
        <is>
          <t>4. PACKING AND FREIGHT CHARGES EXTRA AT ACTUALS</t>
        </is>
      </c>
      <c r="B30" s="178" t="n"/>
      <c r="C30" s="179" t="n"/>
      <c r="D30" s="179" t="n"/>
      <c r="E30" s="179" t="n"/>
      <c r="F30" s="179" t="n"/>
      <c r="G30" s="93" t="n"/>
      <c r="H30" s="92" t="n"/>
      <c r="I30" s="93" t="n"/>
      <c r="J30" s="91" t="n"/>
      <c r="K30" s="91" t="n"/>
      <c r="M30" s="104" t="n"/>
    </row>
    <row r="31" ht="14.1" customHeight="1" s="96">
      <c r="A31" s="177" t="inlineStr">
        <is>
          <t>5. QUOTATION VALIDITY: 14 DAYS</t>
        </is>
      </c>
      <c r="B31" s="178" t="n"/>
      <c r="C31" s="179" t="n"/>
      <c r="D31" s="179" t="n"/>
      <c r="E31" s="179" t="n"/>
      <c r="F31" s="179" t="n"/>
      <c r="G31" s="93" t="n"/>
      <c r="H31" s="92" t="n"/>
      <c r="I31" s="93" t="n"/>
      <c r="J31" s="91" t="n"/>
      <c r="K31" s="91" t="n"/>
      <c r="M31" s="104" t="n"/>
    </row>
    <row r="32" ht="14.1" customHeight="1" s="96">
      <c r="A32" s="180" t="inlineStr">
        <is>
          <t>BANK DETAILS</t>
        </is>
      </c>
      <c r="B32" s="181" t="n"/>
      <c r="C32" s="99" t="n"/>
      <c r="D32" s="99" t="n"/>
      <c r="E32" s="99" t="n"/>
      <c r="F32" s="99" t="n"/>
      <c r="G32" s="100" t="n"/>
      <c r="H32" s="98" t="n"/>
      <c r="I32" s="100" t="n"/>
      <c r="J32" s="99" t="n"/>
      <c r="K32" s="99" t="n"/>
      <c r="L32" s="101" t="n"/>
      <c r="M32" s="102" t="n"/>
    </row>
    <row r="33" ht="15" customHeight="1" s="96">
      <c r="A33" s="182" t="inlineStr">
        <is>
          <t>CHEQUE PRINT NAME     : SHANTI METAL INDUSTRIES</t>
        </is>
      </c>
      <c r="B33" s="92" t="n"/>
      <c r="C33" s="91" t="n"/>
      <c r="D33" s="91" t="n"/>
      <c r="E33" s="91" t="n"/>
      <c r="F33" s="91" t="n"/>
      <c r="G33" s="93" t="n"/>
      <c r="H33" s="92" t="n"/>
      <c r="I33" s="93" t="n"/>
      <c r="J33" s="91" t="n"/>
      <c r="K33" s="91" t="n"/>
      <c r="M33" s="104" t="n"/>
    </row>
    <row r="34" ht="15" customHeight="1" s="96">
      <c r="A34" s="182" t="inlineStr">
        <is>
          <t>PAYMENT MODE               : E-TRANSFER OR CHEQUE</t>
        </is>
      </c>
      <c r="B34" s="92" t="n"/>
      <c r="C34" s="91" t="n"/>
      <c r="D34" s="91" t="n"/>
      <c r="E34" s="91" t="n"/>
      <c r="F34" s="91" t="n"/>
      <c r="G34" s="93" t="n"/>
      <c r="H34" s="92" t="n"/>
      <c r="I34" s="93" t="n"/>
      <c r="J34" s="91" t="n"/>
      <c r="K34" s="91" t="n"/>
      <c r="M34" s="104" t="n"/>
    </row>
    <row r="35" ht="15" customHeight="1" s="96">
      <c r="A35" s="182" t="inlineStr">
        <is>
          <t>LOCATION                          : BANGALORE</t>
        </is>
      </c>
      <c r="B35" s="92" t="n"/>
      <c r="C35" s="91" t="n"/>
      <c r="D35" s="91" t="n"/>
      <c r="E35" s="91" t="n"/>
      <c r="F35" s="91" t="n"/>
      <c r="G35" s="93" t="n"/>
      <c r="H35" s="92" t="n"/>
      <c r="I35" s="93" t="n"/>
      <c r="J35" s="183" t="inlineStr">
        <is>
          <t>For SHANTI METAL INDUSTRIES</t>
        </is>
      </c>
      <c r="K35" s="183" t="n"/>
      <c r="L35" s="126" t="n"/>
      <c r="M35" s="184" t="n"/>
    </row>
    <row r="36" ht="15" customHeight="1" s="96">
      <c r="A36" s="182" t="inlineStr">
        <is>
          <t>ACCOUNT NO                    : 2512011789</t>
        </is>
      </c>
      <c r="B36" s="92" t="n"/>
      <c r="C36" s="91" t="n"/>
      <c r="D36" s="91" t="n"/>
      <c r="E36" s="91" t="n"/>
      <c r="F36" s="91" t="n"/>
      <c r="G36" s="93" t="n"/>
      <c r="H36" s="92" t="n"/>
      <c r="I36" s="93" t="n"/>
      <c r="J36" s="183" t="n"/>
      <c r="K36" s="183" t="n"/>
      <c r="L36" s="126" t="n"/>
      <c r="M36" s="184" t="n"/>
    </row>
    <row r="37" ht="15" customHeight="1" s="96">
      <c r="A37" s="182" t="inlineStr">
        <is>
          <t>IFSC CODE                         : KKBK0000423</t>
        </is>
      </c>
      <c r="B37" s="92" t="n"/>
      <c r="C37" s="91" t="n"/>
      <c r="D37" s="91" t="n"/>
      <c r="E37" s="91" t="n"/>
      <c r="F37" s="91" t="n"/>
      <c r="G37" s="93" t="n"/>
      <c r="H37" s="92" t="n"/>
      <c r="I37" s="93" t="n"/>
      <c r="J37" s="183" t="inlineStr">
        <is>
          <t>ANKUSH JAIN</t>
        </is>
      </c>
      <c r="K37" s="183" t="n"/>
      <c r="L37" s="126" t="n"/>
      <c r="M37" s="184" t="n"/>
    </row>
    <row r="38" ht="15" customHeight="1" s="96">
      <c r="A38" s="182" t="inlineStr">
        <is>
          <t>BANK NAME                       : KOTAK MAHINDRA BANK</t>
        </is>
      </c>
      <c r="B38" s="92" t="n"/>
      <c r="C38" s="91" t="n"/>
      <c r="D38" s="91" t="n"/>
      <c r="E38" s="91" t="n"/>
      <c r="F38" s="91" t="n"/>
      <c r="G38" s="93" t="n"/>
      <c r="H38" s="92" t="n"/>
      <c r="I38" s="93" t="n"/>
      <c r="J38" s="183" t="inlineStr">
        <is>
          <t>Authorised Signatory</t>
        </is>
      </c>
      <c r="K38" s="183" t="n"/>
      <c r="L38" s="126" t="n"/>
      <c r="M38" s="184" t="n"/>
    </row>
    <row r="39" ht="15.75" customHeight="1" s="96">
      <c r="A39" s="185" t="inlineStr">
        <is>
          <t>BANK ADDRESS                 : BASAVANGUDI, BANGALORE - 560004</t>
        </is>
      </c>
      <c r="B39" s="109" t="n"/>
      <c r="C39" s="108" t="n"/>
      <c r="D39" s="108" t="n"/>
      <c r="E39" s="108" t="n"/>
      <c r="F39" s="108" t="n"/>
      <c r="G39" s="108" t="n"/>
      <c r="H39" s="109" t="n"/>
      <c r="I39" s="110" t="n"/>
      <c r="J39" s="108" t="n"/>
      <c r="K39" s="108" t="n"/>
      <c r="L39" s="111" t="n"/>
      <c r="M39" s="112" t="n"/>
    </row>
  </sheetData>
  <mergeCells count="6">
    <mergeCell ref="A19:M19"/>
    <mergeCell ref="A23:J23"/>
    <mergeCell ref="A17:M17"/>
    <mergeCell ref="A24:J24"/>
    <mergeCell ref="A16:M16"/>
    <mergeCell ref="A25:J25"/>
  </mergeCells>
  <conditionalFormatting sqref="G22">
    <cfRule type="expression" rank="0" priority="2" equalAverage="0" aboveAverage="0" dxfId="0" text="" percent="0" bottom="0">
      <formula>AND(COUNTIF($G$22:$G$22,G22)&gt;1,NOT(ISBLANK(G22)))</formula>
    </cfRule>
  </conditionalFormatting>
  <conditionalFormatting sqref="E21">
    <cfRule type="expression" rank="0" priority="3" equalAverage="0" aboveAverage="0" dxfId="0" text="" percent="0" bottom="0">
      <formula>AND(COUNTIF($E$21:$E$21,E21)&gt;1,NOT(ISBLANK(E21)))</formula>
    </cfRule>
    <cfRule type="expression" rank="0" priority="4" equalAverage="0" aboveAverage="0" dxfId="0" text="" percent="0" bottom="0">
      <formula>AND(COUNTIF($E$21:$E$21,E21)&gt;1,NOT(ISBLANK(E21)))</formula>
    </cfRule>
  </conditionalFormatting>
  <printOptions horizontalCentered="0" verticalCentered="0" headings="0" gridLines="0" gridLinesSet="1"/>
  <pageMargins left="0.196527777777778" right="0.196527777777778" top="0.196527777777778" bottom="0.196527777777778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Melange</dc:creator>
  <dc:language>en-US</dc:language>
  <dcterms:created xsi:type="dcterms:W3CDTF">2018-01-25T16:22:27Z</dcterms:created>
  <dcterms:modified xsi:type="dcterms:W3CDTF">2026-09-03T11:56:54Z</dcterms:modified>
  <cp:lastModifiedBy>Melange</cp:lastModifiedBy>
  <cp:revision>0</cp:revision>
  <cp:lastPrinted>2026-07-13T12:09:27Z</cp:lastPrinted>
</cp:coreProperties>
</file>